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ell_Data" sheetId="1" state="visible" r:id="rId3"/>
    <sheet name="Pipe_Tally" sheetId="2" state="visible" r:id="rId4"/>
    <sheet name="Directional_Survey" sheetId="3" state="visible" r:id="rId5"/>
    <sheet name="Volumes" sheetId="4" state="visible" r:id="rId6"/>
    <sheet name="Notes" sheetId="5" state="visible" r:id="rId7"/>
    <sheet name="Circulating_Key" sheetId="6" state="visible" r:id="rId8"/>
    <sheet name="Circulating_Profile" sheetId="7" state="visible" r:id="rId9"/>
    <sheet name="External_Validation" sheetId="8" state="visible" r:id="rId10"/>
    <sheet name="Notes_Circulating"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<sst xmlns="http://schemas.openxmlformats.org/spreadsheetml/2006/main" count="1554" uniqueCount="319">
  <si>
    <t xml:space="preserve">WELL CONTROL TEST DATA — Test-1H (synthetic)</t>
  </si>
  <si>
    <t xml:space="preserve">Synthetic dataset for exercising a kill planner. Not from a real well. Blue = hardcoded input · Black = formula.</t>
  </si>
  <si>
    <t xml:space="preserve">Parameter</t>
  </si>
  <si>
    <t xml:space="preserve">Value</t>
  </si>
  <si>
    <t xml:space="preserve">Units</t>
  </si>
  <si>
    <t xml:space="preserve">Source / Note</t>
  </si>
  <si>
    <t xml:space="preserve">WELL AND RIG</t>
  </si>
  <si>
    <t xml:space="preserve">Well Name</t>
  </si>
  <si>
    <t xml:space="preserve">Test-1H (synthetic)</t>
  </si>
  <si>
    <t xml:space="preserve">Fictitious. Generated test data.</t>
  </si>
  <si>
    <t xml:space="preserve">Rig</t>
  </si>
  <si>
    <t xml:space="preserve">Land rig, triples</t>
  </si>
  <si>
    <t xml:space="preserve">Unit System</t>
  </si>
  <si>
    <t xml:space="preserve">Field (ft, in, ppg, psi, bbl)</t>
  </si>
  <si>
    <t xml:space="preserve">HOLE GEOMETRY</t>
  </si>
  <si>
    <t xml:space="preserve">Bit Depth (MD)</t>
  </si>
  <si>
    <t xml:space="preserve">ft</t>
  </si>
  <si>
    <t xml:space="preserve">Equals total tally length.</t>
  </si>
  <si>
    <t xml:space="preserve">Last Survey (MD)</t>
  </si>
  <si>
    <t xml:space="preserve">Deepest survey station.</t>
  </si>
  <si>
    <t xml:space="preserve">Last Survey (TVD)</t>
  </si>
  <si>
    <t xml:space="preserve">From survey sheet.</t>
  </si>
  <si>
    <t xml:space="preserve">Last Survey Inclination</t>
  </si>
  <si>
    <t xml:space="preserve">deg</t>
  </si>
  <si>
    <t xml:space="preserve">Bit Depth (TVD)</t>
  </si>
  <si>
    <t xml:space="preserve">Extended below last station on last inclination.</t>
  </si>
  <si>
    <t xml:space="preserve">Kick-off Point (KOP)</t>
  </si>
  <si>
    <t xml:space="preserve">ft MD</t>
  </si>
  <si>
    <t xml:space="preserve">Build Rate</t>
  </si>
  <si>
    <t xml:space="preserve">deg/100ft</t>
  </si>
  <si>
    <t xml:space="preserve">Hold Inclination</t>
  </si>
  <si>
    <t xml:space="preserve">End of Build (EOB)</t>
  </si>
  <si>
    <t xml:space="preserve">CASING AND OPEN HOLE</t>
  </si>
  <si>
    <t xml:space="preserve">Surface Casing</t>
  </si>
  <si>
    <t xml:space="preserve">13-3/8in 68.0 ppf K-55</t>
  </si>
  <si>
    <t xml:space="preserve">Surface Shoe (MD)</t>
  </si>
  <si>
    <t xml:space="preserve">Intermediate Casing</t>
  </si>
  <si>
    <t xml:space="preserve">9-5/8in 47.0 ppf N-80</t>
  </si>
  <si>
    <t xml:space="preserve">Governs MAASP — this is the exposed shoe.</t>
  </si>
  <si>
    <t xml:space="preserve">Intermediate Shoe (MD)</t>
  </si>
  <si>
    <t xml:space="preserve">A survey station is taken at this depth.</t>
  </si>
  <si>
    <t xml:space="preserve">Intermediate Shoe (TVD)</t>
  </si>
  <si>
    <t xml:space="preserve">Exact station lookup, no interpolation.</t>
  </si>
  <si>
    <t xml:space="preserve">Casing Drift ID</t>
  </si>
  <si>
    <t xml:space="preserve">in</t>
  </si>
  <si>
    <t xml:space="preserve">9-5/8in 47.0 ppf N-80.</t>
  </si>
  <si>
    <t xml:space="preserve">Open Hole Size</t>
  </si>
  <si>
    <t xml:space="preserve">MUD AND PUMP</t>
  </si>
  <si>
    <t xml:space="preserve">Mud Weight (current)</t>
  </si>
  <si>
    <t xml:space="preserve">ppg</t>
  </si>
  <si>
    <t xml:space="preserve">Formation Integrity (LOT)</t>
  </si>
  <si>
    <t xml:space="preserve">ppg EMW</t>
  </si>
  <si>
    <t xml:space="preserve">At intermediate shoe.</t>
  </si>
  <si>
    <t xml:space="preserve">Pump</t>
  </si>
  <si>
    <t xml:space="preserve">Triplex, 6.5in liner x 12.0in stroke, 95% eff</t>
  </si>
  <si>
    <t xml:space="preserve">Pump Liner</t>
  </si>
  <si>
    <t xml:space="preserve">Pump Stroke Length</t>
  </si>
  <si>
    <t xml:space="preserve">Pump Volumetric Efficiency</t>
  </si>
  <si>
    <t xml:space="preserve">Pump Output</t>
  </si>
  <si>
    <t xml:space="preserve">bbl/stk</t>
  </si>
  <si>
    <t xml:space="preserve">Triplex: 0.000243 x liner^2 x stroke x eff.</t>
  </si>
  <si>
    <t xml:space="preserve">Kill Rate</t>
  </si>
  <si>
    <t xml:space="preserve">spm</t>
  </si>
  <si>
    <t xml:space="preserve">Slow Circulating Pressure</t>
  </si>
  <si>
    <t xml:space="preserve">psi</t>
  </si>
  <si>
    <t xml:space="preserve">Measured at kill rate.</t>
  </si>
  <si>
    <t xml:space="preserve">Surface Line Volume</t>
  </si>
  <si>
    <t xml:space="preserve">bbl</t>
  </si>
  <si>
    <t xml:space="preserve">Standpipe + hose + kelly. Excluded from strokes-to-bit.</t>
  </si>
  <si>
    <t xml:space="preserve">VOLUMES AND STROKES</t>
  </si>
  <si>
    <t xml:space="preserve">String Internal Volume</t>
  </si>
  <si>
    <t xml:space="preserve">Annulus Volume — Open Hole</t>
  </si>
  <si>
    <t xml:space="preserve">Shoe to bit.</t>
  </si>
  <si>
    <t xml:space="preserve">Annulus Volume — Inside Casing</t>
  </si>
  <si>
    <t xml:space="preserve">Surface to shoe.</t>
  </si>
  <si>
    <t xml:space="preserve">Total Annulus Volume</t>
  </si>
  <si>
    <t xml:space="preserve">Total Hole Volume</t>
  </si>
  <si>
    <t xml:space="preserve">Strokes — Surface to Bit</t>
  </si>
  <si>
    <t xml:space="preserve">stk</t>
  </si>
  <si>
    <t xml:space="preserve">Strokes — Bit to Shoe</t>
  </si>
  <si>
    <t xml:space="preserve">Strokes — Bit to Surface</t>
  </si>
  <si>
    <t xml:space="preserve">Strokes — Full Circulation</t>
  </si>
  <si>
    <t xml:space="preserve">Time — Surface to Bit</t>
  </si>
  <si>
    <t xml:space="preserve">min</t>
  </si>
  <si>
    <t xml:space="preserve">Time — Full Circulation</t>
  </si>
  <si>
    <t xml:space="preserve">SHUT-IN DATA (the scenario to solve)</t>
  </si>
  <si>
    <t xml:space="preserve">SIDPP</t>
  </si>
  <si>
    <t xml:space="preserve">Shut-in drillpipe pressure, stabilised.</t>
  </si>
  <si>
    <t xml:space="preserve">SICP</t>
  </si>
  <si>
    <t xml:space="preserve">Shut-in casing pressure. Back-calculated from the influx below so the dataset is self-consistent.</t>
  </si>
  <si>
    <t xml:space="preserve">Pit Gain</t>
  </si>
  <si>
    <t xml:space="preserve">Influx Gradient (assumed)</t>
  </si>
  <si>
    <t xml:space="preserve">psi/ft</t>
  </si>
  <si>
    <t xml:space="preserve">Gas. Used only to derive SICP.</t>
  </si>
  <si>
    <t xml:space="preserve">Influx Height (MD)</t>
  </si>
  <si>
    <t xml:space="preserve">Pit gain filled up the annulus from the bit.</t>
  </si>
  <si>
    <t xml:space="preserve">Influx Height (TVD)</t>
  </si>
  <si>
    <t xml:space="preserve">Influx Top (MD)</t>
  </si>
  <si>
    <t xml:space="preserve">EXPECTED KILL SHEET RESULTS</t>
  </si>
  <si>
    <t xml:space="preserve">Hydrostatic at Bit (TVD)</t>
  </si>
  <si>
    <t xml:space="preserve">Bottomhole Pressure</t>
  </si>
  <si>
    <t xml:space="preserve">Kill Mud Weight</t>
  </si>
  <si>
    <t xml:space="preserve">Initial Circulating Pressure (ICP)</t>
  </si>
  <si>
    <t xml:space="preserve">Final Circulating Pressure (FCP)</t>
  </si>
  <si>
    <t xml:space="preserve">MAASP — current mud weight</t>
  </si>
  <si>
    <t xml:space="preserve">MAASP — kill mud weight</t>
  </si>
  <si>
    <t xml:space="preserve">SICP vs MAASP margin</t>
  </si>
  <si>
    <t xml:space="preserve">Positive means the shut-in pressure is below the shoe limit.</t>
  </si>
  <si>
    <t xml:space="preserve">SURVEY REFERENCE</t>
  </si>
  <si>
    <t xml:space="preserve">Vertical Section Azimuth</t>
  </si>
  <si>
    <t xml:space="preserve">Reference azimuth for the vertical section column.</t>
  </si>
  <si>
    <t xml:space="preserve">Item_No</t>
  </si>
  <si>
    <t xml:space="preserve">Joint_No</t>
  </si>
  <si>
    <t xml:space="preserve">Stand_No</t>
  </si>
  <si>
    <t xml:space="preserve">Description</t>
  </si>
  <si>
    <t xml:space="preserve">Component_Type</t>
  </si>
  <si>
    <t xml:space="preserve">OD_in</t>
  </si>
  <si>
    <t xml:space="preserve">ID_in</t>
  </si>
  <si>
    <t xml:space="preserve">Nominal_Weight_ppf</t>
  </si>
  <si>
    <t xml:space="preserve">Connection</t>
  </si>
  <si>
    <t xml:space="preserve">Length_ft</t>
  </si>
  <si>
    <t xml:space="preserve">Cum_Length_ft</t>
  </si>
  <si>
    <t xml:space="preserve">Top_Depth_ft</t>
  </si>
  <si>
    <t xml:space="preserve">Bottom_Depth_ft</t>
  </si>
  <si>
    <t xml:space="preserve">Capacity_bbl_per_ft</t>
  </si>
  <si>
    <t xml:space="preserve">Capacity_bbl</t>
  </si>
  <si>
    <t xml:space="preserve">Displacement_bbl_per_ft</t>
  </si>
  <si>
    <t xml:space="preserve">Displacement_bbl</t>
  </si>
  <si>
    <t xml:space="preserve">8-1/2in PDC bit, 5x13 nozzles</t>
  </si>
  <si>
    <t xml:space="preserve">Bit</t>
  </si>
  <si>
    <t xml:space="preserve">4-1/2 REG</t>
  </si>
  <si>
    <t xml:space="preserve">6-3/4in PD motor, 1.5 deg bent hsg</t>
  </si>
  <si>
    <t xml:space="preserve">Mud Motor</t>
  </si>
  <si>
    <t xml:space="preserve">NC50</t>
  </si>
  <si>
    <t xml:space="preserve">8-1/4in near-bit stabilizer</t>
  </si>
  <si>
    <t xml:space="preserve">Stabilizer</t>
  </si>
  <si>
    <t xml:space="preserve">6-3/4in MWD / gamma collar</t>
  </si>
  <si>
    <t xml:space="preserve">MWD</t>
  </si>
  <si>
    <t xml:space="preserve">6-3/4in non-mag drill collar</t>
  </si>
  <si>
    <t xml:space="preserve">NMDC</t>
  </si>
  <si>
    <t xml:space="preserve">8-1/4in string stabilizer</t>
  </si>
  <si>
    <t xml:space="preserve">6-3/4in drill collar #1</t>
  </si>
  <si>
    <t xml:space="preserve">Drill Collar</t>
  </si>
  <si>
    <t xml:space="preserve">6-3/4in drill collar #2</t>
  </si>
  <si>
    <t xml:space="preserve">6-3/4in drill collar #3</t>
  </si>
  <si>
    <t xml:space="preserve">6-3/4in drill collar #4</t>
  </si>
  <si>
    <t xml:space="preserve">6-3/4in drill collar #5</t>
  </si>
  <si>
    <t xml:space="preserve">6-3/4in drill collar #6</t>
  </si>
  <si>
    <t xml:space="preserve">6-3/4in drill collar #7</t>
  </si>
  <si>
    <t xml:space="preserve">6-3/4in drill collar #8</t>
  </si>
  <si>
    <t xml:space="preserve">6-3/4in drill collar #9</t>
  </si>
  <si>
    <t xml:space="preserve">6-3/4in drill collar #10</t>
  </si>
  <si>
    <t xml:space="preserve">6-3/4in drill collar #11</t>
  </si>
  <si>
    <t xml:space="preserve">6-3/4in drill collar #12</t>
  </si>
  <si>
    <t xml:space="preserve">6-1/2in hydraulic drilling jar</t>
  </si>
  <si>
    <t xml:space="preserve">Jar</t>
  </si>
  <si>
    <t xml:space="preserve">5in HWDP, 49.3 ppf #1</t>
  </si>
  <si>
    <t xml:space="preserve">HWDP</t>
  </si>
  <si>
    <t xml:space="preserve">5in HWDP, 49.3 ppf #2</t>
  </si>
  <si>
    <t xml:space="preserve">5in HWDP, 49.3 ppf #3</t>
  </si>
  <si>
    <t xml:space="preserve">5in HWDP, 49.3 ppf #4</t>
  </si>
  <si>
    <t xml:space="preserve">5in HWDP, 49.3 ppf #5</t>
  </si>
  <si>
    <t xml:space="preserve">5in HWDP, 49.3 ppf #6</t>
  </si>
  <si>
    <t xml:space="preserve">5in HWDP, 49.3 ppf #7</t>
  </si>
  <si>
    <t xml:space="preserve">5in HWDP, 49.3 ppf #8</t>
  </si>
  <si>
    <t xml:space="preserve">5in HWDP, 49.3 ppf #9</t>
  </si>
  <si>
    <t xml:space="preserve">5in HWDP, 49.3 ppf #10</t>
  </si>
  <si>
    <t xml:space="preserve">5in HWDP, 49.3 ppf #11</t>
  </si>
  <si>
    <t xml:space="preserve">5in HWDP, 49.3 ppf #12</t>
  </si>
  <si>
    <t xml:space="preserve">5in HWDP, 49.3 ppf #13</t>
  </si>
  <si>
    <t xml:space="preserve">5in HWDP, 49.3 ppf #14</t>
  </si>
  <si>
    <t xml:space="preserve">5in HWDP, 49.3 ppf #15</t>
  </si>
  <si>
    <t xml:space="preserve">5in HWDP, 49.3 ppf #16</t>
  </si>
  <si>
    <t xml:space="preserve">5in HWDP, 49.3 ppf #17</t>
  </si>
  <si>
    <t xml:space="preserve">5in HWDP, 49.3 ppf #18</t>
  </si>
  <si>
    <t xml:space="preserve">5in HWDP, 49.3 ppf #19</t>
  </si>
  <si>
    <t xml:space="preserve">5in HWDP, 49.3 ppf #20</t>
  </si>
  <si>
    <t xml:space="preserve">5in HWDP, 49.3 ppf #21</t>
  </si>
  <si>
    <t xml:space="preserve">5in 19.50 ppf S-135 drill pipe</t>
  </si>
  <si>
    <t xml:space="preserve">Drill Pipe</t>
  </si>
  <si>
    <t xml:space="preserve">NC50 (5-1/2 FH)</t>
  </si>
  <si>
    <t xml:space="preserve">5in drill pipe pup joint (5.07 ft)</t>
  </si>
  <si>
    <t xml:space="preserve">Pup Joint</t>
  </si>
  <si>
    <t xml:space="preserve">TOTAL</t>
  </si>
  <si>
    <t xml:space="preserve">Displacement is plain pipe body only; it excludes tool joint steel, so real closed-end displacement runs slightly higher.</t>
  </si>
  <si>
    <t xml:space="preserve">MD_ft</t>
  </si>
  <si>
    <t xml:space="preserve">Inclination_deg</t>
  </si>
  <si>
    <t xml:space="preserve">Azimuth_deg</t>
  </si>
  <si>
    <t xml:space="preserve">TVD_ft</t>
  </si>
  <si>
    <t xml:space="preserve">Northing_ft</t>
  </si>
  <si>
    <t xml:space="preserve">Easting_ft</t>
  </si>
  <si>
    <t xml:space="preserve">DLS_deg_per_100ft</t>
  </si>
  <si>
    <t xml:space="preserve">Course_Length_ft</t>
  </si>
  <si>
    <t xml:space="preserve">Vertical_Section_ft</t>
  </si>
  <si>
    <t xml:space="preserve">Closure_Distance_ft</t>
  </si>
  <si>
    <t xml:space="preserve">Closure_Azimuth_deg</t>
  </si>
  <si>
    <t xml:space="preserve">TVD / Northing / Easting / DLS computed by minimum curvature from the MD, inclination and azimuth columns.</t>
  </si>
  <si>
    <t xml:space="preserve">Ann_Len_OpenHole_ft</t>
  </si>
  <si>
    <t xml:space="preserve">Ann_Vol_OpenHole_bbl</t>
  </si>
  <si>
    <t xml:space="preserve">Ann_Len_InCasing_ft</t>
  </si>
  <si>
    <t xml:space="preserve">Ann_Vol_InCasing_bbl</t>
  </si>
  <si>
    <t xml:space="preserve">Internal_Cap_bbl_per_ft</t>
  </si>
  <si>
    <t xml:space="preserve">Internal_Len_ft</t>
  </si>
  <si>
    <t xml:space="preserve">Internal_Vol_bbl</t>
  </si>
  <si>
    <t xml:space="preserve">NOTES, ASSUMPTIONS AND LEGEND</t>
  </si>
  <si>
    <t xml:space="preserve">PURPOSE</t>
  </si>
  <si>
    <t xml:space="preserve">Synthetic test data for a well control kill planner. Nothing here came from a real well; the numbers are internally consistent so a correct planner should reproduce the expected results on the Well_Data sheet.</t>
  </si>
  <si>
    <t xml:space="preserve">LEGEND</t>
  </si>
  <si>
    <t xml:space="preserve">Blue text = hardcoded input value. Black text = formula. Every derived figure recalculates from the inputs, so you can change a value and watch it propagate.</t>
  </si>
  <si>
    <t xml:space="preserve">WELL</t>
  </si>
  <si>
    <t xml:space="preserve">Build-and-hold land well. Vertical to 2,000 ft MD, build at 2.5 deg/100 ft to 35 deg, hold to 12,500 ft MD. 13-3/8in surface shoe at 1,800 ft; 9-5/8in intermediate shoe at 8,200 ft; 8-1/2in open hole below. A survey station falls exactly on the intermediate shoe so shoe TVD needs no interpolation.</t>
  </si>
  <si>
    <t xml:space="preserve">SURVEY</t>
  </si>
  <si>
    <t xml:space="preserve">Minimum curvature. Stations every 200 ft while vertical, every 30 ft through the build, every 93 ft (one stand) in the tangent. Last station 12,460 ft MD; the bit is at 12,500 ft, so TVD at the bit is extended below the last station on the last inclination — the same thing a rig would do. Inclination and azimuth carry small station-to-station variation, so the tangent section is not a perfect 35.00 deg.</t>
  </si>
  <si>
    <t xml:space="preserve">TALLY</t>
  </si>
  <si>
    <t xml:space="preserve">405 items, bit to surface, totalling exactly 12,500.00 ft. Individual joint lengths vary as measured lengths do. A 5.07 ft pup joint at the top makes the tally close on depth. Capacity = ID^2/1029.4. Displacement = (OD^2-ID^2)/1029.4, which is plain pipe body only and excludes tool joint steel — real closed-end displacement is slightly higher.</t>
  </si>
  <si>
    <t xml:space="preserve">KICK SCENARIO</t>
  </si>
  <si>
    <t xml:space="preserve">22 bbl pit gain, filled up the annulus from the bit, giving a 698.6 ft (MD) influx column. SIDPP of 480 psi is the primary input. SICP was then back-calculated assuming a 0.12 psi/ft gas influx, so SIDPP, SICP and pit gain agree with each other rather than being three unrelated numbers. Shut-in casing pressure sits comfortably below MAASP, so the well is safely shut in and the kill is feasible.</t>
  </si>
  <si>
    <t xml:space="preserve">FORMULAS USED</t>
  </si>
  <si>
    <t xml:space="preserve">Kill mud weight = MW + SIDPP / (0.052 x TVD)</t>
  </si>
  <si>
    <t xml:space="preserve">ICP = slow circulating pressure + SIDPP</t>
  </si>
  <si>
    <t xml:space="preserve">FCP = slow circulating pressure x kill MW / current MW</t>
  </si>
  <si>
    <t xml:space="preserve">MAASP = (LOT EMW - MW) x 0.052 x shoe TVD</t>
  </si>
  <si>
    <t xml:space="preserve">Pump output (triplex) = 0.000243 x liner^2 x stroke x efficiency</t>
  </si>
  <si>
    <t xml:space="preserve">Annular capacity = (hole ID^2 - pipe OD^2) / 1029.4</t>
  </si>
  <si>
    <t xml:space="preserve">WHAT TO CHECK IN YOUR PLANNER</t>
  </si>
  <si>
    <t xml:space="preserve">TVD at the bit, TVD at the shoe, kill mud weight, ICP, FCP, MAASP, strokes from surface to bit, strokes from bit to shoe, and total circulation strokes. All are on the Well_Data sheet under EXPECTED KILL SHEET RESULTS.</t>
  </si>
  <si>
    <t xml:space="preserve">CIRCULATING ANSWER KEY — one circulation, wait and weight</t>
  </si>
  <si>
    <t xml:space="preserve">Output of an independent model (circulating.py), NOT of in-cell formulas. Read Notes_Circulating before trusting any of it.</t>
  </si>
  <si>
    <t xml:space="preserve">Figure</t>
  </si>
  <si>
    <t xml:space="preserve">Confidence / Note</t>
  </si>
  <si>
    <t xml:space="preserve">EXTERNALLY VALIDATED — the schedule method matches a published worked example</t>
  </si>
  <si>
    <t xml:space="preserve">Strokes to bit</t>
  </si>
  <si>
    <t xml:space="preserve">Volume/pump output. Also on Well_Data.</t>
  </si>
  <si>
    <t xml:space="preserve">ICP</t>
  </si>
  <si>
    <t xml:space="preserve">Verified: matches the model endpoint exactly.</t>
  </si>
  <si>
    <t xml:space="preserve">FCP</t>
  </si>
  <si>
    <t xml:space="preserve">Max deviation, rigorous schedule vs straight line</t>
  </si>
  <si>
    <t xml:space="preserve">Genuine effect of the tapered string and the 35 deg hold — not rounding. Collapses to zero in a uniform vertical well, which is how it was checked against the published example.</t>
  </si>
  <si>
    <t xml:space="preserve">MODEL OUTPUT — self-consistent and endpoint-checked, but not externally sourced</t>
  </si>
  <si>
    <t xml:space="preserve">Strokes, gas top reaches surface</t>
  </si>
  <si>
    <t xml:space="preserve">Isothermal single-bubble assumption.</t>
  </si>
  <si>
    <t xml:space="preserve">Gas volume on arrival at surface</t>
  </si>
  <si>
    <t xml:space="preserve">Expansion ratio x4.64 from 22 bbl.</t>
  </si>
  <si>
    <t xml:space="preserve">Peak choke pressure</t>
  </si>
  <si>
    <t xml:space="preserve">Occurs as the gas top reaches surface, which is the textbook expectation.</t>
  </si>
  <si>
    <t xml:space="preserve">Strokes at peak choke pressure</t>
  </si>
  <si>
    <t xml:space="preserve">Peak casing shoe pressure</t>
  </si>
  <si>
    <t xml:space="preserve">Occurs at shut-in, before circulating. Falls thereafter, because kill mud entering the annulus raises hydrostatic below the shoe.</t>
  </si>
  <si>
    <t xml:space="preserve">Shoe margin at peak</t>
  </si>
  <si>
    <t xml:space="preserve">Below formation integrity of 5957 psi. The shoe is not at risk in this scenario.</t>
  </si>
  <si>
    <t xml:space="preserve">Strokes, gas fully out</t>
  </si>
  <si>
    <t xml:space="preserve">Strokes, kill complete</t>
  </si>
  <si>
    <t xml:space="preserve">Kill mud back at surface, choke pressure zero.</t>
  </si>
  <si>
    <t xml:space="preserve">A DELIBERATE TRAP WORTH CHECKING</t>
  </si>
  <si>
    <t xml:space="preserve">Peak choke pressure vs MAASP</t>
  </si>
  <si>
    <t xml:space="preserve">1526 psi vs 1357 psi MAASP</t>
  </si>
  <si>
    <t xml:space="preserve">Peak choke pressure EXCEEDS MAASP, yet the shoe stays 582 psi inside its limit. MAASP is computed with a full mud column; when gas occupies the annulus the surface pressure can pass MAASP without the shoe being over-pressured. An app that alarms on choke &gt; MAASP here is being conservative, not correct — but it should say so rather than declare the kill infeasible.</t>
  </si>
  <si>
    <t xml:space="preserve">Strokes</t>
  </si>
  <si>
    <t xml:space="preserve">Pumped_bbl</t>
  </si>
  <si>
    <t xml:space="preserve">DPP_Conventional_psi</t>
  </si>
  <si>
    <t xml:space="preserve">DPP_Rigorous_psi</t>
  </si>
  <si>
    <t xml:space="preserve">Choke_Pressure_psi</t>
  </si>
  <si>
    <t xml:space="preserve">Shoe_Pressure_psi</t>
  </si>
  <si>
    <t xml:space="preserve">Gas_Volume_bbl</t>
  </si>
  <si>
    <t xml:space="preserve">Gas_Pressure_psi</t>
  </si>
  <si>
    <t xml:space="preserve">Gas_Bottom_MD_ft</t>
  </si>
  <si>
    <t xml:space="preserve">Gas_Top_MD_ft</t>
  </si>
  <si>
    <t xml:space="preserve">Gas_Height_MD_ft</t>
  </si>
  <si>
    <t xml:space="preserve">Gas_At_Surface</t>
  </si>
  <si>
    <t xml:space="preserve">Gas_Venting</t>
  </si>
  <si>
    <t xml:space="preserve">Kill_Mud_String_MD_ft</t>
  </si>
  <si>
    <t xml:space="preserve">Kill_Mud_Annulus_MD_ft</t>
  </si>
  <si>
    <t xml:space="preserve">Model output, not in-cell formulas. Reproduce with circulating.py. Every row satisfies constant bottomhole pressure to 0.0000 psi and closes the annular volume book exactly.</t>
  </si>
  <si>
    <t xml:space="preserve">EXTERNAL VALIDATION — drill pipe pressure schedule</t>
  </si>
  <si>
    <t xml:space="preserve">Second source: drillingformulas.com, 'Drill Pipe Pressure Schedule Calculation for Wait and Weight Well Control Method'. Its inputs and published table are reproduced verbatim in blue.</t>
  </si>
  <si>
    <t xml:space="preserve">PUBLISHED INPUTS</t>
  </si>
  <si>
    <t xml:space="preserve">Original mud weight</t>
  </si>
  <si>
    <t xml:space="preserve">Pump output</t>
  </si>
  <si>
    <t xml:space="preserve">Depth (vertical, MD = TVD)</t>
  </si>
  <si>
    <t xml:space="preserve">Drill string capacity</t>
  </si>
  <si>
    <t xml:space="preserve">bbl/ft</t>
  </si>
  <si>
    <t xml:space="preserve">Surface line volume</t>
  </si>
  <si>
    <t xml:space="preserve">Published KWM</t>
  </si>
  <si>
    <t xml:space="preserve">Published FCP</t>
  </si>
  <si>
    <t xml:space="preserve">DERIVED</t>
  </si>
  <si>
    <t xml:space="preserve">SCR</t>
  </si>
  <si>
    <t xml:space="preserve">BHP</t>
  </si>
  <si>
    <t xml:space="preserve">Recomputed KWM</t>
  </si>
  <si>
    <t xml:space="preserve">String volume</t>
  </si>
  <si>
    <t xml:space="preserve">Surface line strokes</t>
  </si>
  <si>
    <t xml:space="preserve">Published DPP (psi)</t>
  </si>
  <si>
    <t xml:space="preserve">Straight line (psi)</t>
  </si>
  <si>
    <t xml:space="preserve">Rigorous model (psi)</t>
  </si>
  <si>
    <t xml:space="preserve">Published - straight</t>
  </si>
  <si>
    <t xml:space="preserve">Straight - rigorous</t>
  </si>
  <si>
    <t xml:space="preserve">Reading this sheet: column E is the article's own rounding — it steps its table by a rounded 47 psi per 200 strokes where the exact figure is 46.57, so the error accumulates downward. Column F is the gap between the straight line and the rigorous hydrostatic model when both are fed the article's ROUNDED kill mud weight of 10.6 ppg; 0.052 x 10.6 x 9000 = 4961 psi, which overshoots the true BHP of 4946 psi, and that 15 psi inconsistency is what column F exposes. Fed the unrounded 10.5684 ppg, the two models agree to 2e-12 psi. That is the real validation result: the rigorous model reduces exactly to the textbook straight line in a uniform vertical well.</t>
  </si>
  <si>
    <t xml:space="preserve">CIRCULATING MODEL — WHAT IS AND IS NOT VERIFIED</t>
  </si>
  <si>
    <t xml:space="preserve">THE HONEST SUMMARY</t>
  </si>
  <si>
    <t xml:space="preserve">The geometry and the shut-in kill sheet on Well_Data are independently verified. The circulating results on this workbook's Circulating_Key and Circulating_Profile sheets are not, in the same sense. They come from a second independent implementation and they pass every internal and endpoint check available, but no published second-source circulating trace was found to check them against. Treat them as a strong cross-check, not as ground truth.</t>
  </si>
  <si>
    <t xml:space="preserve">WHAT WAS CHECKED, AND HOW</t>
  </si>
  <si>
    <t xml:space="preserve">Drill pipe pressure schedule: validated against a published worked example (see External_Validation). The general model reduces exactly to the textbook straight line in the uniform vertical case, to 2e-12 psi.</t>
  </si>
  <si>
    <t xml:space="preserve">Choke pressure at zero strokes: the model returns 775.4 psi, against 775.4 psi derived by a completely separate route in the data generator (influx height x mud-minus-gas gradient). Two code paths, same answer.</t>
  </si>
  <si>
    <t xml:space="preserve">Schedule endpoints: the rigorous curve lands on ICP at zero strokes and on FCP at strokes-to-bit exactly, which it only does if kill mud weight, BHP and hydrostatic are mutually consistent.</t>
  </si>
  <si>
    <t xml:space="preserve">Bottomhole pressure: recomputed from the full fluid column at every one of the profile rows. Constant to 0.0000 psi.</t>
  </si>
  <si>
    <t xml:space="preserve">Boyle's law: pressure x volume for the bubble is constant to within 2 parts in 10,000 across the whole pre-venting phase, that residual being reporting rounding.</t>
  </si>
  <si>
    <t xml:space="preserve">Annular volume book: mud below the bubble, bubble, and mud above sum to the total annular volume exactly at every row.</t>
  </si>
  <si>
    <t xml:space="preserve">Final state: choke pressure returns to 0.0 psi when kill mud reaches surface.</t>
  </si>
  <si>
    <t xml:space="preserve">WHAT IS NOT INDEPENDENTLY CHECKED</t>
  </si>
  <si>
    <t xml:space="preserve">The shape of the choke and shoe pressure curves between the endpoints. Both rest on the modelling assumptions below, and any planner making the same assumptions will agree with them for the same reasons — which is not evidence that either is right.</t>
  </si>
  <si>
    <t xml:space="preserve">The influx expansion profile. Isothermal single-bubble Boyle's law is a teaching idealisation. A real bubble slips upward through the mud, disperses, partially dissolves in oil-based mud, and sits in a wellbore that is hotter at the bottom than at the top. Every one of those effects moves the answer.</t>
  </si>
  <si>
    <t xml:space="preserve">The friction treatment. Taking friction as linear in the kill-mud volume fraction is the standard kill-sheet convention, not a hydraulics calculation.</t>
  </si>
  <si>
    <t xml:space="preserve">ASSUMPTIONS, STATED PLAINLY</t>
  </si>
  <si>
    <t xml:space="preserve">Wait-and-weight (engineer's) method, one circulation.</t>
  </si>
  <si>
    <t xml:space="preserve">Bottomhole pressure held exactly constant. A real choke operator holds it approximately.</t>
  </si>
  <si>
    <t xml:space="preserve">One continuous gas bubble: no slip, no migration relative to the mud, no solubility, isothermal ideal gas referenced to the pressure at the bottom of the bubble.</t>
  </si>
  <si>
    <t xml:space="preserve">Gas gradient scales as 1/volume from 0.12 psi/ft at shut-in, so the bubble lightens as it expands. Many kill sheets ignore gas hydrostatic entirely; this does not.</t>
  </si>
  <si>
    <t xml:space="preserve">Annular geometry from the tally, split at the 9-5/8in shoe. No washout, no cuttings bed, no cement excess.</t>
  </si>
  <si>
    <t xml:space="preserve">WHAT WOULD ACTUALLY CLOSE THE GAP</t>
  </si>
  <si>
    <t xml:space="preserve">A second-source kill sheet for a well with a recorded circulating trace: choke pressure against strokes for a real or fully worked kick, with the well geometry published alongside it. Searching the open literature turned up plenty of qualitative descriptions of the choke pressure curve — rises while gas expands, peaks as gas reaches surface, falls as it vents — and the model reproduces that shape, but no numerical trace to difference against. Likely sources worth trying: IWCF or IADC instructor material with filled-in exercise answers, a well control simulator's validation dataset, or an SPE or IADC/SPE paper with a documented field case. If you can get one, point the model at its geometry and the comparison is immediate.</t>
  </si>
</sst>
</file>

<file path=xl/styles.xml><?xml version="1.0" encoding="utf-8"?>
<styleSheet xmlns="http://schemas.openxmlformats.org/spreadsheetml/2006/main">
  <numFmts count="8">
    <numFmt numFmtId="164" formatCode="General"/>
    <numFmt numFmtId="165" formatCode="0.00"/>
    <numFmt numFmtId="166" formatCode="0.000"/>
    <numFmt numFmtId="167" formatCode="0.0%"/>
    <numFmt numFmtId="168" formatCode="0.00000"/>
    <numFmt numFmtId="169" formatCode="0"/>
    <numFmt numFmtId="170" formatCode="0.0"/>
    <numFmt numFmtId="171" formatCode="0.000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0"/>
      <color rgb="FFFFFFFF"/>
      <name val="Arial"/>
      <family val="0"/>
      <charset val="1"/>
    </font>
    <font>
      <b val="true"/>
      <sz val="11"/>
      <color rgb="FFFFFFFF"/>
      <name val="Arial"/>
      <family val="0"/>
      <charset val="1"/>
    </font>
    <font>
      <sz val="10"/>
      <name val="Arial"/>
      <family val="0"/>
      <charset val="1"/>
    </font>
    <font>
      <sz val="10"/>
      <color rgb="FF0000FF"/>
      <name val="Arial"/>
      <family val="0"/>
      <charset val="1"/>
    </font>
    <font>
      <b val="true"/>
      <sz val="1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2E5C8A"/>
        <bgColor rgb="FF595959"/>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bottom" textRotation="0" wrapText="false" indent="0" shrinkToFit="false"/>
      <protection locked="true" hidden="false"/>
    </xf>
    <xf numFmtId="166" fontId="9" fillId="0" borderId="1" xfId="0" applyFont="true" applyBorder="true" applyAlignment="true" applyProtection="false">
      <alignment horizontal="general" vertical="bottom" textRotation="0" wrapText="false" indent="0" shrinkToFit="false"/>
      <protection locked="true" hidden="false"/>
    </xf>
    <xf numFmtId="167" fontId="9" fillId="0" borderId="1" xfId="0" applyFont="true" applyBorder="true" applyAlignment="true" applyProtection="false">
      <alignment horizontal="general" vertical="bottom" textRotation="0" wrapText="false" indent="0" shrinkToFit="false"/>
      <protection locked="true" hidden="false"/>
    </xf>
    <xf numFmtId="168" fontId="8" fillId="0" borderId="1" xfId="0" applyFont="true" applyBorder="true" applyAlignment="true" applyProtection="false">
      <alignment horizontal="general" vertical="bottom" textRotation="0" wrapText="false" indent="0" shrinkToFit="false"/>
      <protection locked="true" hidden="false"/>
    </xf>
    <xf numFmtId="169" fontId="9" fillId="0" borderId="1" xfId="0" applyFont="true" applyBorder="true" applyAlignment="true" applyProtection="false">
      <alignment horizontal="general" vertical="bottom" textRotation="0" wrapText="false" indent="0" shrinkToFit="false"/>
      <protection locked="true" hidden="false"/>
    </xf>
    <xf numFmtId="169" fontId="8" fillId="0" borderId="1" xfId="0" applyFont="true" applyBorder="true" applyAlignment="true" applyProtection="false">
      <alignment horizontal="general" vertical="bottom" textRotation="0" wrapText="false" indent="0" shrinkToFit="false"/>
      <protection locked="true" hidden="false"/>
    </xf>
    <xf numFmtId="170" fontId="8" fillId="0" borderId="1" xfId="0" applyFont="true" applyBorder="true" applyAlignment="true" applyProtection="false">
      <alignment horizontal="general" vertical="bottom" textRotation="0" wrapText="false" indent="0" shrinkToFit="false"/>
      <protection locked="true" hidden="false"/>
    </xf>
    <xf numFmtId="170" fontId="9" fillId="0" borderId="1"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6" fontId="9"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8" fontId="8" fillId="0" borderId="0" xfId="0" applyFont="true" applyBorder="fals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top"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9" fontId="9"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70" fontId="9" fillId="0" borderId="1" xfId="0" applyFont="tru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70" fontId="9"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71"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C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30"/>
    <col collapsed="false" customWidth="true" hidden="false" outlineLevel="0" max="3" min="3" style="1" width="11"/>
    <col collapsed="false" customWidth="true" hidden="false" outlineLevel="0" max="4" min="4" style="1" width="62"/>
  </cols>
  <sheetData>
    <row r="1" customFormat="false" ht="17.2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c r="B4" s="4" t="s">
        <v>3</v>
      </c>
      <c r="C4" s="4" t="s">
        <v>4</v>
      </c>
      <c r="D4" s="4" t="s">
        <v>5</v>
      </c>
    </row>
    <row r="5" customFormat="false" ht="15" hidden="false" customHeight="true" outlineLevel="0" collapsed="false">
      <c r="A5" s="5" t="s">
        <v>6</v>
      </c>
      <c r="B5" s="6"/>
      <c r="C5" s="6"/>
      <c r="D5" s="6"/>
    </row>
    <row r="6" customFormat="false" ht="15" hidden="false" customHeight="true" outlineLevel="0" collapsed="false">
      <c r="A6" s="7" t="s">
        <v>7</v>
      </c>
      <c r="B6" s="8" t="s">
        <v>8</v>
      </c>
      <c r="C6" s="7"/>
      <c r="D6" s="9" t="s">
        <v>9</v>
      </c>
    </row>
    <row r="7" customFormat="false" ht="15" hidden="false" customHeight="true" outlineLevel="0" collapsed="false">
      <c r="A7" s="7" t="s">
        <v>10</v>
      </c>
      <c r="B7" s="8" t="s">
        <v>11</v>
      </c>
      <c r="C7" s="7"/>
      <c r="D7" s="9"/>
    </row>
    <row r="8" customFormat="false" ht="15" hidden="false" customHeight="true" outlineLevel="0" collapsed="false">
      <c r="A8" s="7" t="s">
        <v>12</v>
      </c>
      <c r="B8" s="8" t="s">
        <v>13</v>
      </c>
      <c r="C8" s="7"/>
      <c r="D8" s="9"/>
    </row>
    <row r="9" customFormat="false" ht="15" hidden="false" customHeight="true" outlineLevel="0" collapsed="false">
      <c r="A9" s="5" t="s">
        <v>14</v>
      </c>
      <c r="B9" s="6"/>
      <c r="C9" s="6"/>
      <c r="D9" s="6"/>
    </row>
    <row r="10" customFormat="false" ht="15" hidden="false" customHeight="true" outlineLevel="0" collapsed="false">
      <c r="A10" s="7" t="s">
        <v>15</v>
      </c>
      <c r="B10" s="10" t="n">
        <v>12500</v>
      </c>
      <c r="C10" s="7" t="s">
        <v>16</v>
      </c>
      <c r="D10" s="9" t="s">
        <v>17</v>
      </c>
    </row>
    <row r="11" customFormat="false" ht="15" hidden="false" customHeight="true" outlineLevel="0" collapsed="false">
      <c r="A11" s="7" t="s">
        <v>18</v>
      </c>
      <c r="B11" s="11" t="n">
        <f aca="false">MAX(Directional_Survey!$A$2:$A$158)</f>
        <v>12460</v>
      </c>
      <c r="C11" s="7" t="s">
        <v>16</v>
      </c>
      <c r="D11" s="9" t="s">
        <v>19</v>
      </c>
    </row>
    <row r="12" customFormat="false" ht="15" hidden="false" customHeight="true" outlineLevel="0" collapsed="false">
      <c r="A12" s="7" t="s">
        <v>20</v>
      </c>
      <c r="B12" s="11" t="n">
        <f aca="false">INDEX(Directional_Survey!$D$2:$D$158,MATCH(Well_Data!$B$11,Directional_Survey!$A$2:$A$158,0))</f>
        <v>10753.6544938653</v>
      </c>
      <c r="C12" s="7" t="s">
        <v>16</v>
      </c>
      <c r="D12" s="9" t="s">
        <v>21</v>
      </c>
    </row>
    <row r="13" customFormat="false" ht="15" hidden="false" customHeight="true" outlineLevel="0" collapsed="false">
      <c r="A13" s="7" t="s">
        <v>22</v>
      </c>
      <c r="B13" s="11" t="n">
        <f aca="false">INDEX(Directional_Survey!$B$2:$B$158,MATCH(Well_Data!$B$11,Directional_Survey!$A$2:$A$158,0))</f>
        <v>34.62</v>
      </c>
      <c r="C13" s="7" t="s">
        <v>23</v>
      </c>
      <c r="D13" s="9"/>
    </row>
    <row r="14" customFormat="false" ht="15" hidden="false" customHeight="true" outlineLevel="0" collapsed="false">
      <c r="A14" s="7" t="s">
        <v>24</v>
      </c>
      <c r="B14" s="11" t="n">
        <f aca="false">Well_Data!$B$12+(Well_Data!$B$10-Well_Data!$B$11)*COS(RADIANS(Well_Data!$B$13))</f>
        <v>10786.5720180065</v>
      </c>
      <c r="C14" s="7" t="s">
        <v>16</v>
      </c>
      <c r="D14" s="9" t="s">
        <v>25</v>
      </c>
    </row>
    <row r="15" customFormat="false" ht="15" hidden="false" customHeight="true" outlineLevel="0" collapsed="false">
      <c r="A15" s="7" t="s">
        <v>26</v>
      </c>
      <c r="B15" s="10" t="n">
        <v>2000</v>
      </c>
      <c r="C15" s="7" t="s">
        <v>27</v>
      </c>
      <c r="D15" s="9"/>
    </row>
    <row r="16" customFormat="false" ht="15" hidden="false" customHeight="true" outlineLevel="0" collapsed="false">
      <c r="A16" s="7" t="s">
        <v>28</v>
      </c>
      <c r="B16" s="10" t="n">
        <v>2.5</v>
      </c>
      <c r="C16" s="7" t="s">
        <v>29</v>
      </c>
      <c r="D16" s="9"/>
    </row>
    <row r="17" customFormat="false" ht="15" hidden="false" customHeight="true" outlineLevel="0" collapsed="false">
      <c r="A17" s="7" t="s">
        <v>30</v>
      </c>
      <c r="B17" s="10" t="n">
        <v>35</v>
      </c>
      <c r="C17" s="7" t="s">
        <v>23</v>
      </c>
      <c r="D17" s="9"/>
    </row>
    <row r="18" customFormat="false" ht="15" hidden="false" customHeight="true" outlineLevel="0" collapsed="false">
      <c r="A18" s="7" t="s">
        <v>31</v>
      </c>
      <c r="B18" s="11" t="n">
        <f aca="false">Well_Data!$B$15+Well_Data!$B$17/Well_Data!$B$16*100</f>
        <v>3400</v>
      </c>
      <c r="C18" s="7" t="s">
        <v>27</v>
      </c>
      <c r="D18" s="9"/>
    </row>
    <row r="19" customFormat="false" ht="15" hidden="false" customHeight="true" outlineLevel="0" collapsed="false">
      <c r="A19" s="5" t="s">
        <v>32</v>
      </c>
      <c r="B19" s="6"/>
      <c r="C19" s="6"/>
      <c r="D19" s="6"/>
    </row>
    <row r="20" customFormat="false" ht="15" hidden="false" customHeight="true" outlineLevel="0" collapsed="false">
      <c r="A20" s="7" t="s">
        <v>33</v>
      </c>
      <c r="B20" s="8" t="s">
        <v>34</v>
      </c>
      <c r="C20" s="7"/>
      <c r="D20" s="9"/>
    </row>
    <row r="21" customFormat="false" ht="15" hidden="false" customHeight="true" outlineLevel="0" collapsed="false">
      <c r="A21" s="7" t="s">
        <v>35</v>
      </c>
      <c r="B21" s="10" t="n">
        <v>1800</v>
      </c>
      <c r="C21" s="7" t="s">
        <v>16</v>
      </c>
      <c r="D21" s="9"/>
    </row>
    <row r="22" customFormat="false" ht="15" hidden="false" customHeight="true" outlineLevel="0" collapsed="false">
      <c r="A22" s="7" t="s">
        <v>36</v>
      </c>
      <c r="B22" s="8" t="s">
        <v>37</v>
      </c>
      <c r="C22" s="7"/>
      <c r="D22" s="9" t="s">
        <v>38</v>
      </c>
    </row>
    <row r="23" customFormat="false" ht="15" hidden="false" customHeight="true" outlineLevel="0" collapsed="false">
      <c r="A23" s="7" t="s">
        <v>39</v>
      </c>
      <c r="B23" s="10" t="n">
        <v>8200</v>
      </c>
      <c r="C23" s="7" t="s">
        <v>16</v>
      </c>
      <c r="D23" s="9" t="s">
        <v>40</v>
      </c>
    </row>
    <row r="24" customFormat="false" ht="15" hidden="false" customHeight="true" outlineLevel="0" collapsed="false">
      <c r="A24" s="7" t="s">
        <v>41</v>
      </c>
      <c r="B24" s="11" t="n">
        <f aca="false">INDEX(Directional_Survey!$D$2:$D$158,MATCH(Well_Data!$B$23,Directional_Survey!$A$2:$A$158,0))</f>
        <v>7250.70446958426</v>
      </c>
      <c r="C24" s="7" t="s">
        <v>16</v>
      </c>
      <c r="D24" s="9" t="s">
        <v>42</v>
      </c>
    </row>
    <row r="25" customFormat="false" ht="15" hidden="false" customHeight="true" outlineLevel="0" collapsed="false">
      <c r="A25" s="7" t="s">
        <v>43</v>
      </c>
      <c r="B25" s="12" t="n">
        <v>8.681</v>
      </c>
      <c r="C25" s="7" t="s">
        <v>44</v>
      </c>
      <c r="D25" s="9" t="s">
        <v>45</v>
      </c>
    </row>
    <row r="26" customFormat="false" ht="15" hidden="false" customHeight="true" outlineLevel="0" collapsed="false">
      <c r="A26" s="7" t="s">
        <v>46</v>
      </c>
      <c r="B26" s="12" t="n">
        <v>8.5</v>
      </c>
      <c r="C26" s="7" t="s">
        <v>44</v>
      </c>
      <c r="D26" s="9"/>
    </row>
    <row r="27" customFormat="false" ht="15" hidden="false" customHeight="true" outlineLevel="0" collapsed="false">
      <c r="A27" s="5" t="s">
        <v>47</v>
      </c>
      <c r="B27" s="6"/>
      <c r="C27" s="6"/>
      <c r="D27" s="6"/>
    </row>
    <row r="28" customFormat="false" ht="15" hidden="false" customHeight="true" outlineLevel="0" collapsed="false">
      <c r="A28" s="7" t="s">
        <v>48</v>
      </c>
      <c r="B28" s="10" t="n">
        <v>12.2</v>
      </c>
      <c r="C28" s="7" t="s">
        <v>49</v>
      </c>
      <c r="D28" s="9"/>
    </row>
    <row r="29" customFormat="false" ht="15" hidden="false" customHeight="true" outlineLevel="0" collapsed="false">
      <c r="A29" s="7" t="s">
        <v>50</v>
      </c>
      <c r="B29" s="10" t="n">
        <v>15.8</v>
      </c>
      <c r="C29" s="7" t="s">
        <v>51</v>
      </c>
      <c r="D29" s="9" t="s">
        <v>52</v>
      </c>
    </row>
    <row r="30" customFormat="false" ht="15" hidden="false" customHeight="true" outlineLevel="0" collapsed="false">
      <c r="A30" s="7" t="s">
        <v>53</v>
      </c>
      <c r="B30" s="8" t="s">
        <v>54</v>
      </c>
      <c r="C30" s="7"/>
      <c r="D30" s="9"/>
    </row>
    <row r="31" customFormat="false" ht="15" hidden="false" customHeight="true" outlineLevel="0" collapsed="false">
      <c r="A31" s="7" t="s">
        <v>55</v>
      </c>
      <c r="B31" s="10" t="n">
        <v>6.5</v>
      </c>
      <c r="C31" s="7" t="s">
        <v>44</v>
      </c>
      <c r="D31" s="9"/>
    </row>
    <row r="32" customFormat="false" ht="15" hidden="false" customHeight="true" outlineLevel="0" collapsed="false">
      <c r="A32" s="7" t="s">
        <v>56</v>
      </c>
      <c r="B32" s="10" t="n">
        <v>12</v>
      </c>
      <c r="C32" s="7" t="s">
        <v>44</v>
      </c>
      <c r="D32" s="9"/>
    </row>
    <row r="33" customFormat="false" ht="15" hidden="false" customHeight="true" outlineLevel="0" collapsed="false">
      <c r="A33" s="7" t="s">
        <v>57</v>
      </c>
      <c r="B33" s="13" t="n">
        <v>0.95</v>
      </c>
      <c r="C33" s="7"/>
      <c r="D33" s="9"/>
    </row>
    <row r="34" customFormat="false" ht="15" hidden="false" customHeight="true" outlineLevel="0" collapsed="false">
      <c r="A34" s="7" t="s">
        <v>58</v>
      </c>
      <c r="B34" s="14" t="n">
        <f aca="false">0.000243*Well_Data!$B$31^2*Well_Data!$B$32*Well_Data!$B$33</f>
        <v>0.11704095</v>
      </c>
      <c r="C34" s="7" t="s">
        <v>59</v>
      </c>
      <c r="D34" s="9" t="s">
        <v>60</v>
      </c>
    </row>
    <row r="35" customFormat="false" ht="15" hidden="false" customHeight="true" outlineLevel="0" collapsed="false">
      <c r="A35" s="7" t="s">
        <v>61</v>
      </c>
      <c r="B35" s="15" t="n">
        <v>30</v>
      </c>
      <c r="C35" s="7" t="s">
        <v>62</v>
      </c>
      <c r="D35" s="9"/>
    </row>
    <row r="36" customFormat="false" ht="15" hidden="false" customHeight="true" outlineLevel="0" collapsed="false">
      <c r="A36" s="7" t="s">
        <v>63</v>
      </c>
      <c r="B36" s="15" t="n">
        <v>320</v>
      </c>
      <c r="C36" s="7" t="s">
        <v>64</v>
      </c>
      <c r="D36" s="9" t="s">
        <v>65</v>
      </c>
    </row>
    <row r="37" customFormat="false" ht="15" hidden="false" customHeight="true" outlineLevel="0" collapsed="false">
      <c r="A37" s="7" t="s">
        <v>66</v>
      </c>
      <c r="B37" s="10" t="n">
        <v>11.5</v>
      </c>
      <c r="C37" s="7" t="s">
        <v>67</v>
      </c>
      <c r="D37" s="9" t="s">
        <v>68</v>
      </c>
    </row>
    <row r="38" customFormat="false" ht="15" hidden="false" customHeight="true" outlineLevel="0" collapsed="false">
      <c r="A38" s="5" t="s">
        <v>69</v>
      </c>
      <c r="B38" s="6"/>
      <c r="C38" s="6"/>
      <c r="D38" s="6"/>
    </row>
    <row r="39" customFormat="false" ht="15" hidden="false" customHeight="true" outlineLevel="0" collapsed="false">
      <c r="A39" s="7" t="s">
        <v>70</v>
      </c>
      <c r="B39" s="11" t="n">
        <f aca="false">SUM(Volumes!$M$2:$M$406)</f>
        <v>211.354611618924</v>
      </c>
      <c r="C39" s="7" t="s">
        <v>67</v>
      </c>
      <c r="D39" s="9"/>
    </row>
    <row r="40" customFormat="false" ht="15" hidden="false" customHeight="true" outlineLevel="0" collapsed="false">
      <c r="A40" s="7" t="s">
        <v>71</v>
      </c>
      <c r="B40" s="11" t="n">
        <f aca="false">SUM(Volumes!$H$2:$H$406)</f>
        <v>187.306959758111</v>
      </c>
      <c r="C40" s="7" t="s">
        <v>67</v>
      </c>
      <c r="D40" s="9" t="s">
        <v>72</v>
      </c>
    </row>
    <row r="41" customFormat="false" ht="15" hidden="false" customHeight="true" outlineLevel="0" collapsed="false">
      <c r="A41" s="7" t="s">
        <v>73</v>
      </c>
      <c r="B41" s="11" t="n">
        <f aca="false">SUM(Volumes!$J$2:$J$406)</f>
        <v>401.156052263454</v>
      </c>
      <c r="C41" s="7" t="s">
        <v>67</v>
      </c>
      <c r="D41" s="9" t="s">
        <v>74</v>
      </c>
    </row>
    <row r="42" customFormat="false" ht="15" hidden="false" customHeight="true" outlineLevel="0" collapsed="false">
      <c r="A42" s="7" t="s">
        <v>75</v>
      </c>
      <c r="B42" s="11" t="n">
        <f aca="false">Well_Data!$B$40+Well_Data!$B$41</f>
        <v>588.463012021566</v>
      </c>
      <c r="C42" s="7" t="s">
        <v>67</v>
      </c>
      <c r="D42" s="9"/>
    </row>
    <row r="43" customFormat="false" ht="15" hidden="false" customHeight="true" outlineLevel="0" collapsed="false">
      <c r="A43" s="7" t="s">
        <v>76</v>
      </c>
      <c r="B43" s="11" t="n">
        <f aca="false">Well_Data!$B$39+Well_Data!$B$42</f>
        <v>799.817623640489</v>
      </c>
      <c r="C43" s="7" t="s">
        <v>67</v>
      </c>
      <c r="D43" s="9"/>
    </row>
    <row r="44" customFormat="false" ht="15" hidden="false" customHeight="true" outlineLevel="0" collapsed="false">
      <c r="A44" s="7" t="s">
        <v>77</v>
      </c>
      <c r="B44" s="16" t="n">
        <f aca="false">Well_Data!$B$39/Well_Data!$B$34</f>
        <v>1805.81763578409</v>
      </c>
      <c r="C44" s="7" t="s">
        <v>78</v>
      </c>
      <c r="D44" s="9"/>
    </row>
    <row r="45" customFormat="false" ht="15" hidden="false" customHeight="true" outlineLevel="0" collapsed="false">
      <c r="A45" s="7" t="s">
        <v>79</v>
      </c>
      <c r="B45" s="16" t="n">
        <f aca="false">Well_Data!$B$40/Well_Data!$B$34</f>
        <v>1600.35406204505</v>
      </c>
      <c r="C45" s="7" t="s">
        <v>78</v>
      </c>
      <c r="D45" s="9"/>
    </row>
    <row r="46" customFormat="false" ht="15" hidden="false" customHeight="true" outlineLevel="0" collapsed="false">
      <c r="A46" s="7" t="s">
        <v>80</v>
      </c>
      <c r="B46" s="16" t="n">
        <f aca="false">Well_Data!$B$42/Well_Data!$B$34</f>
        <v>5027.83864981928</v>
      </c>
      <c r="C46" s="7" t="s">
        <v>78</v>
      </c>
      <c r="D46" s="9"/>
    </row>
    <row r="47" customFormat="false" ht="15" hidden="false" customHeight="true" outlineLevel="0" collapsed="false">
      <c r="A47" s="7" t="s">
        <v>81</v>
      </c>
      <c r="B47" s="16" t="n">
        <f aca="false">Well_Data!$B$44+Well_Data!$B$46</f>
        <v>6833.65628560337</v>
      </c>
      <c r="C47" s="7" t="s">
        <v>78</v>
      </c>
      <c r="D47" s="9"/>
    </row>
    <row r="48" customFormat="false" ht="15" hidden="false" customHeight="true" outlineLevel="0" collapsed="false">
      <c r="A48" s="7" t="s">
        <v>82</v>
      </c>
      <c r="B48" s="17" t="n">
        <f aca="false">Well_Data!$B$44/Well_Data!$B$35</f>
        <v>60.1939211928029</v>
      </c>
      <c r="C48" s="7" t="s">
        <v>83</v>
      </c>
      <c r="D48" s="9"/>
    </row>
    <row r="49" customFormat="false" ht="15" hidden="false" customHeight="true" outlineLevel="0" collapsed="false">
      <c r="A49" s="7" t="s">
        <v>84</v>
      </c>
      <c r="B49" s="17" t="n">
        <f aca="false">Well_Data!$B$47/Well_Data!$B$35</f>
        <v>227.788542853446</v>
      </c>
      <c r="C49" s="7" t="s">
        <v>83</v>
      </c>
      <c r="D49" s="9"/>
    </row>
    <row r="50" customFormat="false" ht="15" hidden="false" customHeight="true" outlineLevel="0" collapsed="false">
      <c r="A50" s="5" t="s">
        <v>85</v>
      </c>
      <c r="B50" s="6"/>
      <c r="C50" s="6"/>
      <c r="D50" s="6"/>
    </row>
    <row r="51" customFormat="false" ht="15" hidden="false" customHeight="true" outlineLevel="0" collapsed="false">
      <c r="A51" s="7" t="s">
        <v>86</v>
      </c>
      <c r="B51" s="15" t="n">
        <v>480</v>
      </c>
      <c r="C51" s="7" t="s">
        <v>64</v>
      </c>
      <c r="D51" s="9" t="s">
        <v>87</v>
      </c>
    </row>
    <row r="52" customFormat="false" ht="15" hidden="false" customHeight="true" outlineLevel="0" collapsed="false">
      <c r="A52" s="7" t="s">
        <v>88</v>
      </c>
      <c r="B52" s="15" t="n">
        <v>776</v>
      </c>
      <c r="C52" s="7" t="s">
        <v>64</v>
      </c>
      <c r="D52" s="9" t="s">
        <v>89</v>
      </c>
    </row>
    <row r="53" customFormat="false" ht="15" hidden="false" customHeight="true" outlineLevel="0" collapsed="false">
      <c r="A53" s="7" t="s">
        <v>90</v>
      </c>
      <c r="B53" s="18" t="n">
        <v>22</v>
      </c>
      <c r="C53" s="7" t="s">
        <v>67</v>
      </c>
      <c r="D53" s="9"/>
    </row>
    <row r="54" customFormat="false" ht="15" hidden="false" customHeight="true" outlineLevel="0" collapsed="false">
      <c r="A54" s="7" t="s">
        <v>91</v>
      </c>
      <c r="B54" s="12" t="n">
        <v>0.12</v>
      </c>
      <c r="C54" s="7" t="s">
        <v>92</v>
      </c>
      <c r="D54" s="9" t="s">
        <v>93</v>
      </c>
    </row>
    <row r="55" customFormat="false" ht="15" hidden="false" customHeight="true" outlineLevel="0" collapsed="false">
      <c r="A55" s="7" t="s">
        <v>94</v>
      </c>
      <c r="B55" s="18" t="n">
        <v>698.6</v>
      </c>
      <c r="C55" s="7" t="s">
        <v>16</v>
      </c>
      <c r="D55" s="9" t="s">
        <v>95</v>
      </c>
    </row>
    <row r="56" customFormat="false" ht="15" hidden="false" customHeight="true" outlineLevel="0" collapsed="false">
      <c r="A56" s="7" t="s">
        <v>96</v>
      </c>
      <c r="B56" s="18" t="n">
        <v>575.2</v>
      </c>
      <c r="C56" s="7" t="s">
        <v>16</v>
      </c>
      <c r="D56" s="9"/>
    </row>
    <row r="57" customFormat="false" ht="15" hidden="false" customHeight="true" outlineLevel="0" collapsed="false">
      <c r="A57" s="7" t="s">
        <v>97</v>
      </c>
      <c r="B57" s="18" t="n">
        <v>11801.4</v>
      </c>
      <c r="C57" s="7" t="s">
        <v>16</v>
      </c>
      <c r="D57" s="9"/>
    </row>
    <row r="58" customFormat="false" ht="15" hidden="false" customHeight="true" outlineLevel="0" collapsed="false">
      <c r="A58" s="5" t="s">
        <v>98</v>
      </c>
      <c r="B58" s="6"/>
      <c r="C58" s="6"/>
      <c r="D58" s="6"/>
    </row>
    <row r="59" customFormat="false" ht="15" hidden="false" customHeight="true" outlineLevel="0" collapsed="false">
      <c r="A59" s="7" t="s">
        <v>99</v>
      </c>
      <c r="B59" s="16" t="n">
        <f aca="false">0.052*Well_Data!$B$28*Well_Data!$B$14</f>
        <v>6843.00128822332</v>
      </c>
      <c r="C59" s="7" t="s">
        <v>64</v>
      </c>
      <c r="D59" s="9"/>
    </row>
    <row r="60" customFormat="false" ht="15" hidden="false" customHeight="true" outlineLevel="0" collapsed="false">
      <c r="A60" s="7" t="s">
        <v>100</v>
      </c>
      <c r="B60" s="16" t="n">
        <f aca="false">Well_Data!$B$59+Well_Data!$B$51</f>
        <v>7323.00128822332</v>
      </c>
      <c r="C60" s="7" t="s">
        <v>64</v>
      </c>
      <c r="D60" s="9"/>
    </row>
    <row r="61" customFormat="false" ht="15" hidden="false" customHeight="true" outlineLevel="0" collapsed="false">
      <c r="A61" s="7" t="s">
        <v>101</v>
      </c>
      <c r="B61" s="11" t="n">
        <f aca="false">Well_Data!$B$28+Well_Data!$B$51/(0.052*Well_Data!$B$14)</f>
        <v>13.0557648542428</v>
      </c>
      <c r="C61" s="7" t="s">
        <v>49</v>
      </c>
      <c r="D61" s="9"/>
    </row>
    <row r="62" customFormat="false" ht="15" hidden="false" customHeight="true" outlineLevel="0" collapsed="false">
      <c r="A62" s="7" t="s">
        <v>102</v>
      </c>
      <c r="B62" s="16" t="n">
        <f aca="false">Well_Data!$B$36+Well_Data!$B$51</f>
        <v>800</v>
      </c>
      <c r="C62" s="7" t="s">
        <v>64</v>
      </c>
      <c r="D62" s="9"/>
    </row>
    <row r="63" customFormat="false" ht="15" hidden="false" customHeight="true" outlineLevel="0" collapsed="false">
      <c r="A63" s="7" t="s">
        <v>103</v>
      </c>
      <c r="B63" s="16" t="n">
        <f aca="false">Well_Data!$B$36*Well_Data!$B$61/Well_Data!$B$28</f>
        <v>342.446291258829</v>
      </c>
      <c r="C63" s="7" t="s">
        <v>64</v>
      </c>
      <c r="D63" s="9"/>
    </row>
    <row r="64" customFormat="false" ht="15" hidden="false" customHeight="true" outlineLevel="0" collapsed="false">
      <c r="A64" s="7" t="s">
        <v>104</v>
      </c>
      <c r="B64" s="16" t="n">
        <f aca="false">(Well_Data!$B$29-Well_Data!$B$28)*0.052*Well_Data!$B$24</f>
        <v>1357.33187670617</v>
      </c>
      <c r="C64" s="7" t="s">
        <v>64</v>
      </c>
      <c r="D64" s="9"/>
    </row>
    <row r="65" customFormat="false" ht="15" hidden="false" customHeight="true" outlineLevel="0" collapsed="false">
      <c r="A65" s="7" t="s">
        <v>105</v>
      </c>
      <c r="B65" s="16" t="n">
        <f aca="false">(Well_Data!$B$29-Well_Data!$B$61)*0.052*Well_Data!$B$24</f>
        <v>1034.67717792045</v>
      </c>
      <c r="C65" s="7" t="s">
        <v>64</v>
      </c>
      <c r="D65" s="9"/>
    </row>
    <row r="66" customFormat="false" ht="15" hidden="false" customHeight="true" outlineLevel="0" collapsed="false">
      <c r="A66" s="7" t="s">
        <v>106</v>
      </c>
      <c r="B66" s="16" t="n">
        <f aca="false">Well_Data!$B$64-Well_Data!$B$52</f>
        <v>581.331876706174</v>
      </c>
      <c r="C66" s="7" t="s">
        <v>64</v>
      </c>
      <c r="D66" s="9" t="s">
        <v>107</v>
      </c>
    </row>
    <row r="67" customFormat="false" ht="15" hidden="false" customHeight="true" outlineLevel="0" collapsed="false">
      <c r="A67" s="5" t="s">
        <v>108</v>
      </c>
      <c r="B67" s="6"/>
      <c r="C67" s="6"/>
      <c r="D67" s="6"/>
    </row>
    <row r="68" customFormat="false" ht="15" hidden="false" customHeight="true" outlineLevel="0" collapsed="false">
      <c r="A68" s="19" t="s">
        <v>109</v>
      </c>
      <c r="B68" s="20" t="n">
        <v>144</v>
      </c>
      <c r="C68" s="19" t="s">
        <v>23</v>
      </c>
      <c r="D68" s="3" t="s">
        <v>110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4" min="4" style="1" width="38"/>
    <col collapsed="false" customWidth="true" hidden="false" outlineLevel="0" max="5" min="5" style="1" width="14"/>
    <col collapsed="false" customWidth="true" hidden="false" outlineLevel="0" max="9" min="9" style="1" width="18"/>
  </cols>
  <sheetData>
    <row r="1" customFormat="false" ht="34.5" hidden="false" customHeight="true" outlineLevel="0" collapsed="false">
      <c r="A1" s="21" t="s">
        <v>111</v>
      </c>
      <c r="B1" s="21" t="s">
        <v>112</v>
      </c>
      <c r="C1" s="21" t="s">
        <v>113</v>
      </c>
      <c r="D1" s="21" t="s">
        <v>114</v>
      </c>
      <c r="E1" s="21" t="s">
        <v>115</v>
      </c>
      <c r="F1" s="21" t="s">
        <v>116</v>
      </c>
      <c r="G1" s="21" t="s">
        <v>117</v>
      </c>
      <c r="H1" s="21" t="s">
        <v>118</v>
      </c>
      <c r="I1" s="21" t="s">
        <v>119</v>
      </c>
      <c r="J1" s="21" t="s">
        <v>120</v>
      </c>
      <c r="K1" s="21" t="s">
        <v>121</v>
      </c>
      <c r="L1" s="21" t="s">
        <v>122</v>
      </c>
      <c r="M1" s="21" t="s">
        <v>123</v>
      </c>
      <c r="N1" s="21" t="s">
        <v>124</v>
      </c>
      <c r="O1" s="21" t="s">
        <v>125</v>
      </c>
      <c r="P1" s="21" t="s">
        <v>126</v>
      </c>
      <c r="Q1" s="21" t="s">
        <v>127</v>
      </c>
    </row>
    <row r="2" customFormat="false" ht="15" hidden="false" customHeight="true" outlineLevel="0" collapsed="false">
      <c r="A2" s="22" t="n">
        <v>1</v>
      </c>
      <c r="B2" s="22"/>
      <c r="C2" s="22"/>
      <c r="D2" s="22" t="s">
        <v>128</v>
      </c>
      <c r="E2" s="22" t="s">
        <v>129</v>
      </c>
      <c r="F2" s="23" t="n">
        <v>8.5</v>
      </c>
      <c r="G2" s="23" t="n">
        <v>3</v>
      </c>
      <c r="H2" s="20"/>
      <c r="I2" s="22" t="s">
        <v>130</v>
      </c>
      <c r="J2" s="20" t="n">
        <v>1.02</v>
      </c>
      <c r="K2" s="24" t="n">
        <f aca="false">J2</f>
        <v>1.02</v>
      </c>
      <c r="L2" s="24" t="n">
        <f aca="false">Well_Data!$B$10-K2</f>
        <v>12498.98</v>
      </c>
      <c r="M2" s="24" t="n">
        <f aca="false">Well_Data!$B$10-K2+J2</f>
        <v>12500</v>
      </c>
      <c r="N2" s="25" t="n">
        <f aca="false">G2^2/1029.4</f>
        <v>0.00874295706236643</v>
      </c>
      <c r="O2" s="26" t="n">
        <f aca="false">N2*J2</f>
        <v>0.00891781620361376</v>
      </c>
      <c r="P2" s="25" t="n">
        <f aca="false">(F2^2-G2^2)/1029.4</f>
        <v>0.0614435593549641</v>
      </c>
      <c r="Q2" s="26" t="n">
        <f aca="false">P2*J2</f>
        <v>0.0626724305420633</v>
      </c>
    </row>
    <row r="3" customFormat="false" ht="15" hidden="false" customHeight="true" outlineLevel="0" collapsed="false">
      <c r="A3" s="22" t="n">
        <v>2</v>
      </c>
      <c r="B3" s="22"/>
      <c r="C3" s="22"/>
      <c r="D3" s="22" t="s">
        <v>131</v>
      </c>
      <c r="E3" s="22" t="s">
        <v>132</v>
      </c>
      <c r="F3" s="23" t="n">
        <v>6.75</v>
      </c>
      <c r="G3" s="23" t="n">
        <v>3</v>
      </c>
      <c r="H3" s="20"/>
      <c r="I3" s="22" t="s">
        <v>133</v>
      </c>
      <c r="J3" s="20" t="n">
        <v>28.47</v>
      </c>
      <c r="K3" s="24" t="n">
        <f aca="false">K2+J3</f>
        <v>29.49</v>
      </c>
      <c r="L3" s="24" t="n">
        <f aca="false">Well_Data!$B$10-K3</f>
        <v>12470.51</v>
      </c>
      <c r="M3" s="24" t="n">
        <f aca="false">Well_Data!$B$10-K3+J3</f>
        <v>12498.98</v>
      </c>
      <c r="N3" s="25" t="n">
        <f aca="false">G3^2/1029.4</f>
        <v>0.00874295706236643</v>
      </c>
      <c r="O3" s="26" t="n">
        <f aca="false">N3*J3</f>
        <v>0.248911987565572</v>
      </c>
      <c r="P3" s="25" t="n">
        <f aca="false">(F3^2-G3^2)/1029.4</f>
        <v>0.0355182630658636</v>
      </c>
      <c r="Q3" s="26" t="n">
        <f aca="false">P3*J3</f>
        <v>1.01120494948514</v>
      </c>
    </row>
    <row r="4" customFormat="false" ht="15" hidden="false" customHeight="true" outlineLevel="0" collapsed="false">
      <c r="A4" s="22" t="n">
        <v>3</v>
      </c>
      <c r="B4" s="22"/>
      <c r="C4" s="22"/>
      <c r="D4" s="22" t="s">
        <v>134</v>
      </c>
      <c r="E4" s="22" t="s">
        <v>135</v>
      </c>
      <c r="F4" s="23" t="n">
        <v>8.25</v>
      </c>
      <c r="G4" s="23" t="n">
        <v>2.813</v>
      </c>
      <c r="H4" s="20"/>
      <c r="I4" s="22" t="s">
        <v>133</v>
      </c>
      <c r="J4" s="20" t="n">
        <v>5.52</v>
      </c>
      <c r="K4" s="24" t="n">
        <f aca="false">K3+J4</f>
        <v>35.01</v>
      </c>
      <c r="L4" s="24" t="n">
        <f aca="false">Well_Data!$B$10-K4</f>
        <v>12464.99</v>
      </c>
      <c r="M4" s="24" t="n">
        <f aca="false">Well_Data!$B$10-K4+J4</f>
        <v>12470.51</v>
      </c>
      <c r="N4" s="25" t="n">
        <f aca="false">G4^2/1029.4</f>
        <v>0.0076869720225374</v>
      </c>
      <c r="O4" s="26" t="n">
        <f aca="false">N4*J4</f>
        <v>0.0424320855644065</v>
      </c>
      <c r="P4" s="25" t="n">
        <f aca="false">(F4^2-G4^2)/1029.4</f>
        <v>0.0584316407616087</v>
      </c>
      <c r="Q4" s="26" t="n">
        <f aca="false">P4*J4</f>
        <v>0.32254265700408</v>
      </c>
    </row>
    <row r="5" customFormat="false" ht="15" hidden="false" customHeight="true" outlineLevel="0" collapsed="false">
      <c r="A5" s="22" t="n">
        <v>4</v>
      </c>
      <c r="B5" s="22"/>
      <c r="C5" s="22"/>
      <c r="D5" s="22" t="s">
        <v>136</v>
      </c>
      <c r="E5" s="22" t="s">
        <v>137</v>
      </c>
      <c r="F5" s="23" t="n">
        <v>6.75</v>
      </c>
      <c r="G5" s="23" t="n">
        <v>3.25</v>
      </c>
      <c r="H5" s="20"/>
      <c r="I5" s="22" t="s">
        <v>133</v>
      </c>
      <c r="J5" s="20" t="n">
        <v>31.18</v>
      </c>
      <c r="K5" s="24" t="n">
        <f aca="false">K4+J5</f>
        <v>66.19</v>
      </c>
      <c r="L5" s="24" t="n">
        <f aca="false">Well_Data!$B$10-K5</f>
        <v>12433.81</v>
      </c>
      <c r="M5" s="24" t="n">
        <f aca="false">Well_Data!$B$10-K5+J5</f>
        <v>12464.99</v>
      </c>
      <c r="N5" s="25" t="n">
        <f aca="false">G5^2/1029.4</f>
        <v>0.0102608315523606</v>
      </c>
      <c r="O5" s="26" t="n">
        <f aca="false">N5*J5</f>
        <v>0.319932727802603</v>
      </c>
      <c r="P5" s="25" t="n">
        <f aca="false">(F5^2-G5^2)/1029.4</f>
        <v>0.0340003885758694</v>
      </c>
      <c r="Q5" s="26" t="n">
        <f aca="false">P5*J5</f>
        <v>1.06013211579561</v>
      </c>
    </row>
    <row r="6" customFormat="false" ht="15" hidden="false" customHeight="true" outlineLevel="0" collapsed="false">
      <c r="A6" s="22" t="n">
        <v>5</v>
      </c>
      <c r="B6" s="22"/>
      <c r="C6" s="22"/>
      <c r="D6" s="22" t="s">
        <v>138</v>
      </c>
      <c r="E6" s="22" t="s">
        <v>139</v>
      </c>
      <c r="F6" s="23" t="n">
        <v>6.75</v>
      </c>
      <c r="G6" s="23" t="n">
        <v>2.813</v>
      </c>
      <c r="H6" s="20"/>
      <c r="I6" s="22" t="s">
        <v>133</v>
      </c>
      <c r="J6" s="20" t="n">
        <v>30.14</v>
      </c>
      <c r="K6" s="24" t="n">
        <f aca="false">K5+J6</f>
        <v>96.33</v>
      </c>
      <c r="L6" s="24" t="n">
        <f aca="false">Well_Data!$B$10-K6</f>
        <v>12403.67</v>
      </c>
      <c r="M6" s="24" t="n">
        <f aca="false">Well_Data!$B$10-K6+J6</f>
        <v>12433.81</v>
      </c>
      <c r="N6" s="25" t="n">
        <f aca="false">G6^2/1029.4</f>
        <v>0.0076869720225374</v>
      </c>
      <c r="O6" s="26" t="n">
        <f aca="false">N6*J6</f>
        <v>0.231685336759277</v>
      </c>
      <c r="P6" s="25" t="n">
        <f aca="false">(F6^2-G6^2)/1029.4</f>
        <v>0.0365742481056926</v>
      </c>
      <c r="Q6" s="26" t="n">
        <f aca="false">P6*J6</f>
        <v>1.10234783790558</v>
      </c>
    </row>
    <row r="7" customFormat="false" ht="15" hidden="false" customHeight="true" outlineLevel="0" collapsed="false">
      <c r="A7" s="22" t="n">
        <v>6</v>
      </c>
      <c r="B7" s="22"/>
      <c r="C7" s="22"/>
      <c r="D7" s="22" t="s">
        <v>140</v>
      </c>
      <c r="E7" s="22" t="s">
        <v>135</v>
      </c>
      <c r="F7" s="23" t="n">
        <v>8.25</v>
      </c>
      <c r="G7" s="23" t="n">
        <v>2.813</v>
      </c>
      <c r="H7" s="20"/>
      <c r="I7" s="22" t="s">
        <v>133</v>
      </c>
      <c r="J7" s="20" t="n">
        <v>5.38</v>
      </c>
      <c r="K7" s="24" t="n">
        <f aca="false">K6+J7</f>
        <v>101.71</v>
      </c>
      <c r="L7" s="24" t="n">
        <f aca="false">Well_Data!$B$10-K7</f>
        <v>12398.29</v>
      </c>
      <c r="M7" s="24" t="n">
        <f aca="false">Well_Data!$B$10-K7+J7</f>
        <v>12403.67</v>
      </c>
      <c r="N7" s="25" t="n">
        <f aca="false">G7^2/1029.4</f>
        <v>0.0076869720225374</v>
      </c>
      <c r="O7" s="26" t="n">
        <f aca="false">N7*J7</f>
        <v>0.0413559094812512</v>
      </c>
      <c r="P7" s="25" t="n">
        <f aca="false">(F7^2-G7^2)/1029.4</f>
        <v>0.0584316407616087</v>
      </c>
      <c r="Q7" s="26" t="n">
        <f aca="false">P7*J7</f>
        <v>0.314362227297455</v>
      </c>
    </row>
    <row r="8" customFormat="false" ht="15" hidden="false" customHeight="true" outlineLevel="0" collapsed="false">
      <c r="A8" s="22" t="n">
        <v>7</v>
      </c>
      <c r="B8" s="22" t="n">
        <v>1</v>
      </c>
      <c r="C8" s="22"/>
      <c r="D8" s="22" t="s">
        <v>141</v>
      </c>
      <c r="E8" s="22" t="s">
        <v>142</v>
      </c>
      <c r="F8" s="23" t="n">
        <v>6.75</v>
      </c>
      <c r="G8" s="23" t="n">
        <v>2.813</v>
      </c>
      <c r="H8" s="20" t="n">
        <v>99</v>
      </c>
      <c r="I8" s="22" t="s">
        <v>133</v>
      </c>
      <c r="J8" s="20" t="n">
        <v>30.4</v>
      </c>
      <c r="K8" s="24" t="n">
        <f aca="false">K7+J8</f>
        <v>132.11</v>
      </c>
      <c r="L8" s="24" t="n">
        <f aca="false">Well_Data!$B$10-K8</f>
        <v>12367.89</v>
      </c>
      <c r="M8" s="24" t="n">
        <f aca="false">Well_Data!$B$10-K8+J8</f>
        <v>12398.29</v>
      </c>
      <c r="N8" s="25" t="n">
        <f aca="false">G8^2/1029.4</f>
        <v>0.0076869720225374</v>
      </c>
      <c r="O8" s="26" t="n">
        <f aca="false">N8*J8</f>
        <v>0.233683949485137</v>
      </c>
      <c r="P8" s="25" t="n">
        <f aca="false">(F8^2-G8^2)/1029.4</f>
        <v>0.0365742481056926</v>
      </c>
      <c r="Q8" s="26" t="n">
        <f aca="false">P8*J8</f>
        <v>1.11185714241306</v>
      </c>
    </row>
    <row r="9" customFormat="false" ht="15" hidden="false" customHeight="true" outlineLevel="0" collapsed="false">
      <c r="A9" s="22" t="n">
        <v>8</v>
      </c>
      <c r="B9" s="22" t="n">
        <v>2</v>
      </c>
      <c r="C9" s="22"/>
      <c r="D9" s="22" t="s">
        <v>143</v>
      </c>
      <c r="E9" s="22" t="s">
        <v>142</v>
      </c>
      <c r="F9" s="23" t="n">
        <v>6.75</v>
      </c>
      <c r="G9" s="23" t="n">
        <v>2.813</v>
      </c>
      <c r="H9" s="20" t="n">
        <v>99</v>
      </c>
      <c r="I9" s="22" t="s">
        <v>133</v>
      </c>
      <c r="J9" s="20" t="n">
        <v>30.42</v>
      </c>
      <c r="K9" s="24" t="n">
        <f aca="false">K8+J9</f>
        <v>162.53</v>
      </c>
      <c r="L9" s="24" t="n">
        <f aca="false">Well_Data!$B$10-K9</f>
        <v>12337.47</v>
      </c>
      <c r="M9" s="24" t="n">
        <f aca="false">Well_Data!$B$10-K9+J9</f>
        <v>12367.89</v>
      </c>
      <c r="N9" s="25" t="n">
        <f aca="false">G9^2/1029.4</f>
        <v>0.0076869720225374</v>
      </c>
      <c r="O9" s="26" t="n">
        <f aca="false">N9*J9</f>
        <v>0.233837688925588</v>
      </c>
      <c r="P9" s="25" t="n">
        <f aca="false">(F9^2-G9^2)/1029.4</f>
        <v>0.0365742481056926</v>
      </c>
      <c r="Q9" s="26" t="n">
        <f aca="false">P9*J9</f>
        <v>1.11258862737517</v>
      </c>
    </row>
    <row r="10" customFormat="false" ht="15" hidden="false" customHeight="true" outlineLevel="0" collapsed="false">
      <c r="A10" s="22" t="n">
        <v>9</v>
      </c>
      <c r="B10" s="22" t="n">
        <v>3</v>
      </c>
      <c r="C10" s="22"/>
      <c r="D10" s="22" t="s">
        <v>144</v>
      </c>
      <c r="E10" s="22" t="s">
        <v>142</v>
      </c>
      <c r="F10" s="23" t="n">
        <v>6.75</v>
      </c>
      <c r="G10" s="23" t="n">
        <v>2.813</v>
      </c>
      <c r="H10" s="20" t="n">
        <v>99</v>
      </c>
      <c r="I10" s="22" t="s">
        <v>133</v>
      </c>
      <c r="J10" s="20" t="n">
        <v>30.22</v>
      </c>
      <c r="K10" s="24" t="n">
        <f aca="false">K9+J10</f>
        <v>192.75</v>
      </c>
      <c r="L10" s="24" t="n">
        <f aca="false">Well_Data!$B$10-K10</f>
        <v>12307.25</v>
      </c>
      <c r="M10" s="24" t="n">
        <f aca="false">Well_Data!$B$10-K10+J10</f>
        <v>12337.47</v>
      </c>
      <c r="N10" s="25" t="n">
        <f aca="false">G10^2/1029.4</f>
        <v>0.0076869720225374</v>
      </c>
      <c r="O10" s="26" t="n">
        <f aca="false">N10*J10</f>
        <v>0.23230029452108</v>
      </c>
      <c r="P10" s="25" t="n">
        <f aca="false">(F10^2-G10^2)/1029.4</f>
        <v>0.0365742481056926</v>
      </c>
      <c r="Q10" s="26" t="n">
        <f aca="false">P10*J10</f>
        <v>1.10527377775403</v>
      </c>
    </row>
    <row r="11" customFormat="false" ht="15" hidden="false" customHeight="true" outlineLevel="0" collapsed="false">
      <c r="A11" s="22" t="n">
        <v>10</v>
      </c>
      <c r="B11" s="22" t="n">
        <v>4</v>
      </c>
      <c r="C11" s="22"/>
      <c r="D11" s="22" t="s">
        <v>145</v>
      </c>
      <c r="E11" s="22" t="s">
        <v>142</v>
      </c>
      <c r="F11" s="23" t="n">
        <v>6.75</v>
      </c>
      <c r="G11" s="23" t="n">
        <v>2.813</v>
      </c>
      <c r="H11" s="20" t="n">
        <v>99</v>
      </c>
      <c r="I11" s="22" t="s">
        <v>133</v>
      </c>
      <c r="J11" s="20" t="n">
        <v>30.27</v>
      </c>
      <c r="K11" s="24" t="n">
        <f aca="false">K10+J11</f>
        <v>223.02</v>
      </c>
      <c r="L11" s="24" t="n">
        <f aca="false">Well_Data!$B$10-K11</f>
        <v>12276.98</v>
      </c>
      <c r="M11" s="24" t="n">
        <f aca="false">Well_Data!$B$10-K11+J11</f>
        <v>12307.25</v>
      </c>
      <c r="N11" s="25" t="n">
        <f aca="false">G11^2/1029.4</f>
        <v>0.0076869720225374</v>
      </c>
      <c r="O11" s="26" t="n">
        <f aca="false">N11*J11</f>
        <v>0.232684643122207</v>
      </c>
      <c r="P11" s="25" t="n">
        <f aca="false">(F11^2-G11^2)/1029.4</f>
        <v>0.0365742481056926</v>
      </c>
      <c r="Q11" s="26" t="n">
        <f aca="false">P11*J11</f>
        <v>1.10710249015932</v>
      </c>
    </row>
    <row r="12" customFormat="false" ht="15" hidden="false" customHeight="true" outlineLevel="0" collapsed="false">
      <c r="A12" s="22" t="n">
        <v>11</v>
      </c>
      <c r="B12" s="22" t="n">
        <v>5</v>
      </c>
      <c r="C12" s="22"/>
      <c r="D12" s="22" t="s">
        <v>146</v>
      </c>
      <c r="E12" s="22" t="s">
        <v>142</v>
      </c>
      <c r="F12" s="23" t="n">
        <v>6.75</v>
      </c>
      <c r="G12" s="23" t="n">
        <v>2.813</v>
      </c>
      <c r="H12" s="20" t="n">
        <v>99</v>
      </c>
      <c r="I12" s="22" t="s">
        <v>133</v>
      </c>
      <c r="J12" s="20" t="n">
        <v>30.17</v>
      </c>
      <c r="K12" s="24" t="n">
        <f aca="false">K11+J12</f>
        <v>253.19</v>
      </c>
      <c r="L12" s="24" t="n">
        <f aca="false">Well_Data!$B$10-K12</f>
        <v>12246.81</v>
      </c>
      <c r="M12" s="24" t="n">
        <f aca="false">Well_Data!$B$10-K12+J12</f>
        <v>12276.98</v>
      </c>
      <c r="N12" s="25" t="n">
        <f aca="false">G12^2/1029.4</f>
        <v>0.0076869720225374</v>
      </c>
      <c r="O12" s="26" t="n">
        <f aca="false">N12*J12</f>
        <v>0.231915945919953</v>
      </c>
      <c r="P12" s="25" t="n">
        <f aca="false">(F12^2-G12^2)/1029.4</f>
        <v>0.0365742481056926</v>
      </c>
      <c r="Q12" s="26" t="n">
        <f aca="false">P12*J12</f>
        <v>1.10344506534875</v>
      </c>
    </row>
    <row r="13" customFormat="false" ht="15" hidden="false" customHeight="true" outlineLevel="0" collapsed="false">
      <c r="A13" s="22" t="n">
        <v>12</v>
      </c>
      <c r="B13" s="22" t="n">
        <v>6</v>
      </c>
      <c r="C13" s="22"/>
      <c r="D13" s="22" t="s">
        <v>147</v>
      </c>
      <c r="E13" s="22" t="s">
        <v>142</v>
      </c>
      <c r="F13" s="23" t="n">
        <v>6.75</v>
      </c>
      <c r="G13" s="23" t="n">
        <v>2.813</v>
      </c>
      <c r="H13" s="20" t="n">
        <v>99</v>
      </c>
      <c r="I13" s="22" t="s">
        <v>133</v>
      </c>
      <c r="J13" s="20" t="n">
        <v>30.31</v>
      </c>
      <c r="K13" s="24" t="n">
        <f aca="false">K12+J13</f>
        <v>283.5</v>
      </c>
      <c r="L13" s="24" t="n">
        <f aca="false">Well_Data!$B$10-K13</f>
        <v>12216.5</v>
      </c>
      <c r="M13" s="24" t="n">
        <f aca="false">Well_Data!$B$10-K13+J13</f>
        <v>12246.81</v>
      </c>
      <c r="N13" s="25" t="n">
        <f aca="false">G13^2/1029.4</f>
        <v>0.0076869720225374</v>
      </c>
      <c r="O13" s="26" t="n">
        <f aca="false">N13*J13</f>
        <v>0.232992122003109</v>
      </c>
      <c r="P13" s="25" t="n">
        <f aca="false">(F13^2-G13^2)/1029.4</f>
        <v>0.0365742481056926</v>
      </c>
      <c r="Q13" s="26" t="n">
        <f aca="false">P13*J13</f>
        <v>1.10856546008354</v>
      </c>
    </row>
    <row r="14" customFormat="false" ht="15" hidden="false" customHeight="true" outlineLevel="0" collapsed="false">
      <c r="A14" s="22" t="n">
        <v>13</v>
      </c>
      <c r="B14" s="22" t="n">
        <v>7</v>
      </c>
      <c r="C14" s="22"/>
      <c r="D14" s="22" t="s">
        <v>148</v>
      </c>
      <c r="E14" s="22" t="s">
        <v>142</v>
      </c>
      <c r="F14" s="23" t="n">
        <v>6.75</v>
      </c>
      <c r="G14" s="23" t="n">
        <v>2.813</v>
      </c>
      <c r="H14" s="20" t="n">
        <v>99</v>
      </c>
      <c r="I14" s="22" t="s">
        <v>133</v>
      </c>
      <c r="J14" s="20" t="n">
        <v>30.08</v>
      </c>
      <c r="K14" s="24" t="n">
        <f aca="false">K13+J14</f>
        <v>313.58</v>
      </c>
      <c r="L14" s="24" t="n">
        <f aca="false">Well_Data!$B$10-K14</f>
        <v>12186.42</v>
      </c>
      <c r="M14" s="24" t="n">
        <f aca="false">Well_Data!$B$10-K14+J14</f>
        <v>12216.5</v>
      </c>
      <c r="N14" s="25" t="n">
        <f aca="false">G14^2/1029.4</f>
        <v>0.0076869720225374</v>
      </c>
      <c r="O14" s="26" t="n">
        <f aca="false">N14*J14</f>
        <v>0.231224118437925</v>
      </c>
      <c r="P14" s="25" t="n">
        <f aca="false">(F14^2-G14^2)/1029.4</f>
        <v>0.0365742481056926</v>
      </c>
      <c r="Q14" s="26" t="n">
        <f aca="false">P14*J14</f>
        <v>1.10015338301923</v>
      </c>
    </row>
    <row r="15" customFormat="false" ht="15" hidden="false" customHeight="true" outlineLevel="0" collapsed="false">
      <c r="A15" s="22" t="n">
        <v>14</v>
      </c>
      <c r="B15" s="22" t="n">
        <v>8</v>
      </c>
      <c r="C15" s="22"/>
      <c r="D15" s="22" t="s">
        <v>149</v>
      </c>
      <c r="E15" s="22" t="s">
        <v>142</v>
      </c>
      <c r="F15" s="23" t="n">
        <v>6.75</v>
      </c>
      <c r="G15" s="23" t="n">
        <v>2.813</v>
      </c>
      <c r="H15" s="20" t="n">
        <v>99</v>
      </c>
      <c r="I15" s="22" t="s">
        <v>133</v>
      </c>
      <c r="J15" s="20" t="n">
        <v>30.23</v>
      </c>
      <c r="K15" s="24" t="n">
        <f aca="false">K14+J15</f>
        <v>343.81</v>
      </c>
      <c r="L15" s="24" t="n">
        <f aca="false">Well_Data!$B$10-K15</f>
        <v>12156.19</v>
      </c>
      <c r="M15" s="24" t="n">
        <f aca="false">Well_Data!$B$10-K15+J15</f>
        <v>12186.42</v>
      </c>
      <c r="N15" s="25" t="n">
        <f aca="false">G15^2/1029.4</f>
        <v>0.0076869720225374</v>
      </c>
      <c r="O15" s="26" t="n">
        <f aca="false">N15*J15</f>
        <v>0.232377164241306</v>
      </c>
      <c r="P15" s="25" t="n">
        <f aca="false">(F15^2-G15^2)/1029.4</f>
        <v>0.0365742481056926</v>
      </c>
      <c r="Q15" s="26" t="n">
        <f aca="false">P15*J15</f>
        <v>1.10563952023509</v>
      </c>
    </row>
    <row r="16" customFormat="false" ht="15" hidden="false" customHeight="true" outlineLevel="0" collapsed="false">
      <c r="A16" s="22" t="n">
        <v>15</v>
      </c>
      <c r="B16" s="22" t="n">
        <v>9</v>
      </c>
      <c r="C16" s="22"/>
      <c r="D16" s="22" t="s">
        <v>150</v>
      </c>
      <c r="E16" s="22" t="s">
        <v>142</v>
      </c>
      <c r="F16" s="23" t="n">
        <v>6.75</v>
      </c>
      <c r="G16" s="23" t="n">
        <v>2.813</v>
      </c>
      <c r="H16" s="20" t="n">
        <v>99</v>
      </c>
      <c r="I16" s="22" t="s">
        <v>133</v>
      </c>
      <c r="J16" s="20" t="n">
        <v>30.11</v>
      </c>
      <c r="K16" s="24" t="n">
        <f aca="false">K15+J16</f>
        <v>373.92</v>
      </c>
      <c r="L16" s="24" t="n">
        <f aca="false">Well_Data!$B$10-K16</f>
        <v>12126.08</v>
      </c>
      <c r="M16" s="24" t="n">
        <f aca="false">Well_Data!$B$10-K16+J16</f>
        <v>12156.19</v>
      </c>
      <c r="N16" s="25" t="n">
        <f aca="false">G16^2/1029.4</f>
        <v>0.0076869720225374</v>
      </c>
      <c r="O16" s="26" t="n">
        <f aca="false">N16*J16</f>
        <v>0.231454727598601</v>
      </c>
      <c r="P16" s="25" t="n">
        <f aca="false">(F16^2-G16^2)/1029.4</f>
        <v>0.0365742481056926</v>
      </c>
      <c r="Q16" s="26" t="n">
        <f aca="false">P16*J16</f>
        <v>1.10125061046241</v>
      </c>
    </row>
    <row r="17" customFormat="false" ht="15" hidden="false" customHeight="true" outlineLevel="0" collapsed="false">
      <c r="A17" s="22" t="n">
        <v>16</v>
      </c>
      <c r="B17" s="22" t="n">
        <v>10</v>
      </c>
      <c r="C17" s="22"/>
      <c r="D17" s="22" t="s">
        <v>151</v>
      </c>
      <c r="E17" s="22" t="s">
        <v>142</v>
      </c>
      <c r="F17" s="23" t="n">
        <v>6.75</v>
      </c>
      <c r="G17" s="23" t="n">
        <v>2.813</v>
      </c>
      <c r="H17" s="20" t="n">
        <v>99</v>
      </c>
      <c r="I17" s="22" t="s">
        <v>133</v>
      </c>
      <c r="J17" s="20" t="n">
        <v>30.07</v>
      </c>
      <c r="K17" s="24" t="n">
        <f aca="false">K16+J17</f>
        <v>403.99</v>
      </c>
      <c r="L17" s="24" t="n">
        <f aca="false">Well_Data!$B$10-K17</f>
        <v>12096.01</v>
      </c>
      <c r="M17" s="24" t="n">
        <f aca="false">Well_Data!$B$10-K17+J17</f>
        <v>12126.08</v>
      </c>
      <c r="N17" s="25" t="n">
        <f aca="false">G17^2/1029.4</f>
        <v>0.0076869720225374</v>
      </c>
      <c r="O17" s="26" t="n">
        <f aca="false">N17*J17</f>
        <v>0.2311472487177</v>
      </c>
      <c r="P17" s="25" t="n">
        <f aca="false">(F17^2-G17^2)/1029.4</f>
        <v>0.0365742481056926</v>
      </c>
      <c r="Q17" s="26" t="n">
        <f aca="false">P17*J17</f>
        <v>1.09978764053818</v>
      </c>
    </row>
    <row r="18" customFormat="false" ht="15" hidden="false" customHeight="true" outlineLevel="0" collapsed="false">
      <c r="A18" s="22" t="n">
        <v>17</v>
      </c>
      <c r="B18" s="22" t="n">
        <v>11</v>
      </c>
      <c r="C18" s="22"/>
      <c r="D18" s="22" t="s">
        <v>152</v>
      </c>
      <c r="E18" s="22" t="s">
        <v>142</v>
      </c>
      <c r="F18" s="23" t="n">
        <v>6.75</v>
      </c>
      <c r="G18" s="23" t="n">
        <v>2.813</v>
      </c>
      <c r="H18" s="20" t="n">
        <v>99</v>
      </c>
      <c r="I18" s="22" t="s">
        <v>133</v>
      </c>
      <c r="J18" s="20" t="n">
        <v>30.25</v>
      </c>
      <c r="K18" s="24" t="n">
        <f aca="false">K17+J18</f>
        <v>434.24</v>
      </c>
      <c r="L18" s="24" t="n">
        <f aca="false">Well_Data!$B$10-K18</f>
        <v>12065.76</v>
      </c>
      <c r="M18" s="24" t="n">
        <f aca="false">Well_Data!$B$10-K18+J18</f>
        <v>12096.01</v>
      </c>
      <c r="N18" s="25" t="n">
        <f aca="false">G18^2/1029.4</f>
        <v>0.0076869720225374</v>
      </c>
      <c r="O18" s="26" t="n">
        <f aca="false">N18*J18</f>
        <v>0.232530903681756</v>
      </c>
      <c r="P18" s="25" t="n">
        <f aca="false">(F18^2-G18^2)/1029.4</f>
        <v>0.0365742481056926</v>
      </c>
      <c r="Q18" s="26" t="n">
        <f aca="false">P18*J18</f>
        <v>1.1063710051972</v>
      </c>
    </row>
    <row r="19" customFormat="false" ht="15" hidden="false" customHeight="true" outlineLevel="0" collapsed="false">
      <c r="A19" s="22" t="n">
        <v>18</v>
      </c>
      <c r="B19" s="22" t="n">
        <v>12</v>
      </c>
      <c r="C19" s="22"/>
      <c r="D19" s="22" t="s">
        <v>153</v>
      </c>
      <c r="E19" s="22" t="s">
        <v>142</v>
      </c>
      <c r="F19" s="23" t="n">
        <v>6.75</v>
      </c>
      <c r="G19" s="23" t="n">
        <v>2.813</v>
      </c>
      <c r="H19" s="20" t="n">
        <v>99</v>
      </c>
      <c r="I19" s="22" t="s">
        <v>133</v>
      </c>
      <c r="J19" s="20" t="n">
        <v>30.35</v>
      </c>
      <c r="K19" s="24" t="n">
        <f aca="false">K18+J19</f>
        <v>464.59</v>
      </c>
      <c r="L19" s="24" t="n">
        <f aca="false">Well_Data!$B$10-K19</f>
        <v>12035.41</v>
      </c>
      <c r="M19" s="24" t="n">
        <f aca="false">Well_Data!$B$10-K19+J19</f>
        <v>12065.76</v>
      </c>
      <c r="N19" s="25" t="n">
        <f aca="false">G19^2/1029.4</f>
        <v>0.0076869720225374</v>
      </c>
      <c r="O19" s="26" t="n">
        <f aca="false">N19*J19</f>
        <v>0.23329960088401</v>
      </c>
      <c r="P19" s="25" t="n">
        <f aca="false">(F19^2-G19^2)/1029.4</f>
        <v>0.0365742481056926</v>
      </c>
      <c r="Q19" s="26" t="n">
        <f aca="false">P19*J19</f>
        <v>1.11002843000777</v>
      </c>
    </row>
    <row r="20" customFormat="false" ht="15" hidden="false" customHeight="true" outlineLevel="0" collapsed="false">
      <c r="A20" s="22" t="n">
        <v>19</v>
      </c>
      <c r="B20" s="22"/>
      <c r="C20" s="22"/>
      <c r="D20" s="22" t="s">
        <v>154</v>
      </c>
      <c r="E20" s="22" t="s">
        <v>155</v>
      </c>
      <c r="F20" s="23" t="n">
        <v>6.5</v>
      </c>
      <c r="G20" s="23" t="n">
        <v>2.75</v>
      </c>
      <c r="H20" s="20"/>
      <c r="I20" s="22" t="s">
        <v>133</v>
      </c>
      <c r="J20" s="20" t="n">
        <v>31.05</v>
      </c>
      <c r="K20" s="24" t="n">
        <f aca="false">K19+J20</f>
        <v>495.64</v>
      </c>
      <c r="L20" s="24" t="n">
        <f aca="false">Well_Data!$B$10-K20</f>
        <v>12004.36</v>
      </c>
      <c r="M20" s="24" t="n">
        <f aca="false">Well_Data!$B$10-K20+J20</f>
        <v>12035.41</v>
      </c>
      <c r="N20" s="25" t="n">
        <f aca="false">G20^2/1029.4</f>
        <v>0.00734651253157179</v>
      </c>
      <c r="O20" s="26" t="n">
        <f aca="false">N20*J20</f>
        <v>0.228109214105304</v>
      </c>
      <c r="P20" s="25" t="n">
        <f aca="false">(F20^2-G20^2)/1029.4</f>
        <v>0.0336968136778706</v>
      </c>
      <c r="Q20" s="26" t="n">
        <f aca="false">P20*J20</f>
        <v>1.04628606469788</v>
      </c>
    </row>
    <row r="21" customFormat="false" ht="15" hidden="false" customHeight="true" outlineLevel="0" collapsed="false">
      <c r="A21" s="22" t="n">
        <v>20</v>
      </c>
      <c r="B21" s="22" t="n">
        <v>13</v>
      </c>
      <c r="C21" s="22"/>
      <c r="D21" s="22" t="s">
        <v>156</v>
      </c>
      <c r="E21" s="22" t="s">
        <v>157</v>
      </c>
      <c r="F21" s="23" t="n">
        <v>5</v>
      </c>
      <c r="G21" s="23" t="n">
        <v>3</v>
      </c>
      <c r="H21" s="20" t="n">
        <v>49.3</v>
      </c>
      <c r="I21" s="22" t="s">
        <v>133</v>
      </c>
      <c r="J21" s="20" t="n">
        <v>30.43</v>
      </c>
      <c r="K21" s="24" t="n">
        <f aca="false">K20+J21</f>
        <v>526.07</v>
      </c>
      <c r="L21" s="24" t="n">
        <f aca="false">Well_Data!$B$10-K21</f>
        <v>11973.93</v>
      </c>
      <c r="M21" s="24" t="n">
        <f aca="false">Well_Data!$B$10-K21+J21</f>
        <v>12004.36</v>
      </c>
      <c r="N21" s="25" t="n">
        <f aca="false">G21^2/1029.4</f>
        <v>0.00874295706236643</v>
      </c>
      <c r="O21" s="26" t="n">
        <f aca="false">N21*J21</f>
        <v>0.26604818340781</v>
      </c>
      <c r="P21" s="25" t="n">
        <f aca="false">(F21^2-G21^2)/1029.4</f>
        <v>0.0155430347775403</v>
      </c>
      <c r="Q21" s="26" t="n">
        <f aca="false">P21*J21</f>
        <v>0.472974548280552</v>
      </c>
    </row>
    <row r="22" customFormat="false" ht="15" hidden="false" customHeight="true" outlineLevel="0" collapsed="false">
      <c r="A22" s="22" t="n">
        <v>21</v>
      </c>
      <c r="B22" s="22" t="n">
        <v>14</v>
      </c>
      <c r="C22" s="22"/>
      <c r="D22" s="22" t="s">
        <v>158</v>
      </c>
      <c r="E22" s="22" t="s">
        <v>157</v>
      </c>
      <c r="F22" s="23" t="n">
        <v>5</v>
      </c>
      <c r="G22" s="23" t="n">
        <v>3</v>
      </c>
      <c r="H22" s="20" t="n">
        <v>49.3</v>
      </c>
      <c r="I22" s="22" t="s">
        <v>133</v>
      </c>
      <c r="J22" s="20" t="n">
        <v>30.69</v>
      </c>
      <c r="K22" s="24" t="n">
        <f aca="false">K21+J22</f>
        <v>556.76</v>
      </c>
      <c r="L22" s="24" t="n">
        <f aca="false">Well_Data!$B$10-K22</f>
        <v>11943.24</v>
      </c>
      <c r="M22" s="24" t="n">
        <f aca="false">Well_Data!$B$10-K22+J22</f>
        <v>11973.93</v>
      </c>
      <c r="N22" s="25" t="n">
        <f aca="false">G22^2/1029.4</f>
        <v>0.00874295706236643</v>
      </c>
      <c r="O22" s="26" t="n">
        <f aca="false">N22*J22</f>
        <v>0.268321352244026</v>
      </c>
      <c r="P22" s="25" t="n">
        <f aca="false">(F22^2-G22^2)/1029.4</f>
        <v>0.0155430347775403</v>
      </c>
      <c r="Q22" s="26" t="n">
        <f aca="false">P22*J22</f>
        <v>0.477015737322712</v>
      </c>
    </row>
    <row r="23" customFormat="false" ht="15" hidden="false" customHeight="true" outlineLevel="0" collapsed="false">
      <c r="A23" s="22" t="n">
        <v>22</v>
      </c>
      <c r="B23" s="22" t="n">
        <v>15</v>
      </c>
      <c r="C23" s="22"/>
      <c r="D23" s="22" t="s">
        <v>159</v>
      </c>
      <c r="E23" s="22" t="s">
        <v>157</v>
      </c>
      <c r="F23" s="23" t="n">
        <v>5</v>
      </c>
      <c r="G23" s="23" t="n">
        <v>3</v>
      </c>
      <c r="H23" s="20" t="n">
        <v>49.3</v>
      </c>
      <c r="I23" s="22" t="s">
        <v>133</v>
      </c>
      <c r="J23" s="20" t="n">
        <v>30.59</v>
      </c>
      <c r="K23" s="24" t="n">
        <f aca="false">K22+J23</f>
        <v>587.35</v>
      </c>
      <c r="L23" s="24" t="n">
        <f aca="false">Well_Data!$B$10-K23</f>
        <v>11912.65</v>
      </c>
      <c r="M23" s="24" t="n">
        <f aca="false">Well_Data!$B$10-K23+J23</f>
        <v>11943.24</v>
      </c>
      <c r="N23" s="25" t="n">
        <f aca="false">G23^2/1029.4</f>
        <v>0.00874295706236643</v>
      </c>
      <c r="O23" s="26" t="n">
        <f aca="false">N23*J23</f>
        <v>0.267447056537789</v>
      </c>
      <c r="P23" s="25" t="n">
        <f aca="false">(F23^2-G23^2)/1029.4</f>
        <v>0.0155430347775403</v>
      </c>
      <c r="Q23" s="26" t="n">
        <f aca="false">P23*J23</f>
        <v>0.475461433844958</v>
      </c>
    </row>
    <row r="24" customFormat="false" ht="15" hidden="false" customHeight="true" outlineLevel="0" collapsed="false">
      <c r="A24" s="22" t="n">
        <v>23</v>
      </c>
      <c r="B24" s="22" t="n">
        <v>16</v>
      </c>
      <c r="C24" s="22"/>
      <c r="D24" s="22" t="s">
        <v>160</v>
      </c>
      <c r="E24" s="22" t="s">
        <v>157</v>
      </c>
      <c r="F24" s="23" t="n">
        <v>5</v>
      </c>
      <c r="G24" s="23" t="n">
        <v>3</v>
      </c>
      <c r="H24" s="20" t="n">
        <v>49.3</v>
      </c>
      <c r="I24" s="22" t="s">
        <v>133</v>
      </c>
      <c r="J24" s="20" t="n">
        <v>30.56</v>
      </c>
      <c r="K24" s="24" t="n">
        <f aca="false">K23+J24</f>
        <v>617.91</v>
      </c>
      <c r="L24" s="24" t="n">
        <f aca="false">Well_Data!$B$10-K24</f>
        <v>11882.09</v>
      </c>
      <c r="M24" s="24" t="n">
        <f aca="false">Well_Data!$B$10-K24+J24</f>
        <v>11912.65</v>
      </c>
      <c r="N24" s="25" t="n">
        <f aca="false">G24^2/1029.4</f>
        <v>0.00874295706236643</v>
      </c>
      <c r="O24" s="26" t="n">
        <f aca="false">N24*J24</f>
        <v>0.267184767825918</v>
      </c>
      <c r="P24" s="25" t="n">
        <f aca="false">(F24^2-G24^2)/1029.4</f>
        <v>0.0155430347775403</v>
      </c>
      <c r="Q24" s="26" t="n">
        <f aca="false">P24*J24</f>
        <v>0.474995142801632</v>
      </c>
    </row>
    <row r="25" customFormat="false" ht="15" hidden="false" customHeight="true" outlineLevel="0" collapsed="false">
      <c r="A25" s="22" t="n">
        <v>24</v>
      </c>
      <c r="B25" s="22" t="n">
        <v>17</v>
      </c>
      <c r="C25" s="22"/>
      <c r="D25" s="22" t="s">
        <v>161</v>
      </c>
      <c r="E25" s="22" t="s">
        <v>157</v>
      </c>
      <c r="F25" s="23" t="n">
        <v>5</v>
      </c>
      <c r="G25" s="23" t="n">
        <v>3</v>
      </c>
      <c r="H25" s="20" t="n">
        <v>49.3</v>
      </c>
      <c r="I25" s="22" t="s">
        <v>133</v>
      </c>
      <c r="J25" s="20" t="n">
        <v>30.68</v>
      </c>
      <c r="K25" s="24" t="n">
        <f aca="false">K24+J25</f>
        <v>648.59</v>
      </c>
      <c r="L25" s="24" t="n">
        <f aca="false">Well_Data!$B$10-K25</f>
        <v>11851.41</v>
      </c>
      <c r="M25" s="24" t="n">
        <f aca="false">Well_Data!$B$10-K25+J25</f>
        <v>11882.09</v>
      </c>
      <c r="N25" s="25" t="n">
        <f aca="false">G25^2/1029.4</f>
        <v>0.00874295706236643</v>
      </c>
      <c r="O25" s="26" t="n">
        <f aca="false">N25*J25</f>
        <v>0.268233922673402</v>
      </c>
      <c r="P25" s="25" t="n">
        <f aca="false">(F25^2-G25^2)/1029.4</f>
        <v>0.0155430347775403</v>
      </c>
      <c r="Q25" s="26" t="n">
        <f aca="false">P25*J25</f>
        <v>0.476860306974937</v>
      </c>
    </row>
    <row r="26" customFormat="false" ht="15" hidden="false" customHeight="true" outlineLevel="0" collapsed="false">
      <c r="A26" s="22" t="n">
        <v>25</v>
      </c>
      <c r="B26" s="22" t="n">
        <v>18</v>
      </c>
      <c r="C26" s="22"/>
      <c r="D26" s="22" t="s">
        <v>162</v>
      </c>
      <c r="E26" s="22" t="s">
        <v>157</v>
      </c>
      <c r="F26" s="23" t="n">
        <v>5</v>
      </c>
      <c r="G26" s="23" t="n">
        <v>3</v>
      </c>
      <c r="H26" s="20" t="n">
        <v>49.3</v>
      </c>
      <c r="I26" s="22" t="s">
        <v>133</v>
      </c>
      <c r="J26" s="20" t="n">
        <v>30.47</v>
      </c>
      <c r="K26" s="24" t="n">
        <f aca="false">K25+J26</f>
        <v>679.06</v>
      </c>
      <c r="L26" s="24" t="n">
        <f aca="false">Well_Data!$B$10-K26</f>
        <v>11820.94</v>
      </c>
      <c r="M26" s="24" t="n">
        <f aca="false">Well_Data!$B$10-K26+J26</f>
        <v>11851.41</v>
      </c>
      <c r="N26" s="25" t="n">
        <f aca="false">G26^2/1029.4</f>
        <v>0.00874295706236643</v>
      </c>
      <c r="O26" s="26" t="n">
        <f aca="false">N26*J26</f>
        <v>0.266397901690305</v>
      </c>
      <c r="P26" s="25" t="n">
        <f aca="false">(F26^2-G26^2)/1029.4</f>
        <v>0.0155430347775403</v>
      </c>
      <c r="Q26" s="26" t="n">
        <f aca="false">P26*J26</f>
        <v>0.473596269671653</v>
      </c>
    </row>
    <row r="27" customFormat="false" ht="15" hidden="false" customHeight="true" outlineLevel="0" collapsed="false">
      <c r="A27" s="22" t="n">
        <v>26</v>
      </c>
      <c r="B27" s="22" t="n">
        <v>19</v>
      </c>
      <c r="C27" s="22"/>
      <c r="D27" s="22" t="s">
        <v>163</v>
      </c>
      <c r="E27" s="22" t="s">
        <v>157</v>
      </c>
      <c r="F27" s="23" t="n">
        <v>5</v>
      </c>
      <c r="G27" s="23" t="n">
        <v>3</v>
      </c>
      <c r="H27" s="20" t="n">
        <v>49.3</v>
      </c>
      <c r="I27" s="22" t="s">
        <v>133</v>
      </c>
      <c r="J27" s="20" t="n">
        <v>30.4</v>
      </c>
      <c r="K27" s="24" t="n">
        <f aca="false">K26+J27</f>
        <v>709.46</v>
      </c>
      <c r="L27" s="24" t="n">
        <f aca="false">Well_Data!$B$10-K27</f>
        <v>11790.54</v>
      </c>
      <c r="M27" s="24" t="n">
        <f aca="false">Well_Data!$B$10-K27+J27</f>
        <v>11820.94</v>
      </c>
      <c r="N27" s="25" t="n">
        <f aca="false">G27^2/1029.4</f>
        <v>0.00874295706236643</v>
      </c>
      <c r="O27" s="26" t="n">
        <f aca="false">N27*J27</f>
        <v>0.265785894695939</v>
      </c>
      <c r="P27" s="25" t="n">
        <f aca="false">(F27^2-G27^2)/1029.4</f>
        <v>0.0155430347775403</v>
      </c>
      <c r="Q27" s="26" t="n">
        <f aca="false">P27*J27</f>
        <v>0.472508257237226</v>
      </c>
    </row>
    <row r="28" customFormat="false" ht="15" hidden="false" customHeight="true" outlineLevel="0" collapsed="false">
      <c r="A28" s="22" t="n">
        <v>27</v>
      </c>
      <c r="B28" s="22" t="n">
        <v>20</v>
      </c>
      <c r="C28" s="22"/>
      <c r="D28" s="22" t="s">
        <v>164</v>
      </c>
      <c r="E28" s="22" t="s">
        <v>157</v>
      </c>
      <c r="F28" s="23" t="n">
        <v>5</v>
      </c>
      <c r="G28" s="23" t="n">
        <v>3</v>
      </c>
      <c r="H28" s="20" t="n">
        <v>49.3</v>
      </c>
      <c r="I28" s="22" t="s">
        <v>133</v>
      </c>
      <c r="J28" s="20" t="n">
        <v>30.35</v>
      </c>
      <c r="K28" s="24" t="n">
        <f aca="false">K27+J28</f>
        <v>739.81</v>
      </c>
      <c r="L28" s="24" t="n">
        <f aca="false">Well_Data!$B$10-K28</f>
        <v>11760.19</v>
      </c>
      <c r="M28" s="24" t="n">
        <f aca="false">Well_Data!$B$10-K28+J28</f>
        <v>11790.54</v>
      </c>
      <c r="N28" s="25" t="n">
        <f aca="false">G28^2/1029.4</f>
        <v>0.00874295706236643</v>
      </c>
      <c r="O28" s="26" t="n">
        <f aca="false">N28*J28</f>
        <v>0.265348746842821</v>
      </c>
      <c r="P28" s="25" t="n">
        <f aca="false">(F28^2-G28^2)/1029.4</f>
        <v>0.0155430347775403</v>
      </c>
      <c r="Q28" s="26" t="n">
        <f aca="false">P28*J28</f>
        <v>0.471731105498349</v>
      </c>
    </row>
    <row r="29" customFormat="false" ht="15" hidden="false" customHeight="true" outlineLevel="0" collapsed="false">
      <c r="A29" s="22" t="n">
        <v>28</v>
      </c>
      <c r="B29" s="22" t="n">
        <v>21</v>
      </c>
      <c r="C29" s="22"/>
      <c r="D29" s="22" t="s">
        <v>165</v>
      </c>
      <c r="E29" s="22" t="s">
        <v>157</v>
      </c>
      <c r="F29" s="23" t="n">
        <v>5</v>
      </c>
      <c r="G29" s="23" t="n">
        <v>3</v>
      </c>
      <c r="H29" s="20" t="n">
        <v>49.3</v>
      </c>
      <c r="I29" s="22" t="s">
        <v>133</v>
      </c>
      <c r="J29" s="20" t="n">
        <v>30.56</v>
      </c>
      <c r="K29" s="24" t="n">
        <f aca="false">K28+J29</f>
        <v>770.37</v>
      </c>
      <c r="L29" s="24" t="n">
        <f aca="false">Well_Data!$B$10-K29</f>
        <v>11729.63</v>
      </c>
      <c r="M29" s="24" t="n">
        <f aca="false">Well_Data!$B$10-K29+J29</f>
        <v>11760.19</v>
      </c>
      <c r="N29" s="25" t="n">
        <f aca="false">G29^2/1029.4</f>
        <v>0.00874295706236643</v>
      </c>
      <c r="O29" s="26" t="n">
        <f aca="false">N29*J29</f>
        <v>0.267184767825918</v>
      </c>
      <c r="P29" s="25" t="n">
        <f aca="false">(F29^2-G29^2)/1029.4</f>
        <v>0.0155430347775403</v>
      </c>
      <c r="Q29" s="26" t="n">
        <f aca="false">P29*J29</f>
        <v>0.474995142801632</v>
      </c>
    </row>
    <row r="30" customFormat="false" ht="15" hidden="false" customHeight="true" outlineLevel="0" collapsed="false">
      <c r="A30" s="22" t="n">
        <v>29</v>
      </c>
      <c r="B30" s="22" t="n">
        <v>22</v>
      </c>
      <c r="C30" s="22"/>
      <c r="D30" s="22" t="s">
        <v>166</v>
      </c>
      <c r="E30" s="22" t="s">
        <v>157</v>
      </c>
      <c r="F30" s="23" t="n">
        <v>5</v>
      </c>
      <c r="G30" s="23" t="n">
        <v>3</v>
      </c>
      <c r="H30" s="20" t="n">
        <v>49.3</v>
      </c>
      <c r="I30" s="22" t="s">
        <v>133</v>
      </c>
      <c r="J30" s="20" t="n">
        <v>30.32</v>
      </c>
      <c r="K30" s="24" t="n">
        <f aca="false">K29+J30</f>
        <v>800.69</v>
      </c>
      <c r="L30" s="24" t="n">
        <f aca="false">Well_Data!$B$10-K30</f>
        <v>11699.31</v>
      </c>
      <c r="M30" s="24" t="n">
        <f aca="false">Well_Data!$B$10-K30+J30</f>
        <v>11729.63</v>
      </c>
      <c r="N30" s="25" t="n">
        <f aca="false">G30^2/1029.4</f>
        <v>0.00874295706236643</v>
      </c>
      <c r="O30" s="26" t="n">
        <f aca="false">N30*J30</f>
        <v>0.26508645813095</v>
      </c>
      <c r="P30" s="25" t="n">
        <f aca="false">(F30^2-G30^2)/1029.4</f>
        <v>0.0155430347775403</v>
      </c>
      <c r="Q30" s="26" t="n">
        <f aca="false">P30*J30</f>
        <v>0.471264814455022</v>
      </c>
    </row>
    <row r="31" customFormat="false" ht="15" hidden="false" customHeight="true" outlineLevel="0" collapsed="false">
      <c r="A31" s="22" t="n">
        <v>30</v>
      </c>
      <c r="B31" s="22" t="n">
        <v>23</v>
      </c>
      <c r="C31" s="22"/>
      <c r="D31" s="22" t="s">
        <v>167</v>
      </c>
      <c r="E31" s="22" t="s">
        <v>157</v>
      </c>
      <c r="F31" s="23" t="n">
        <v>5</v>
      </c>
      <c r="G31" s="23" t="n">
        <v>3</v>
      </c>
      <c r="H31" s="20" t="n">
        <v>49.3</v>
      </c>
      <c r="I31" s="22" t="s">
        <v>133</v>
      </c>
      <c r="J31" s="20" t="n">
        <v>30.66</v>
      </c>
      <c r="K31" s="24" t="n">
        <f aca="false">K30+J31</f>
        <v>831.35</v>
      </c>
      <c r="L31" s="24" t="n">
        <f aca="false">Well_Data!$B$10-K31</f>
        <v>11668.65</v>
      </c>
      <c r="M31" s="24" t="n">
        <f aca="false">Well_Data!$B$10-K31+J31</f>
        <v>11699.31</v>
      </c>
      <c r="N31" s="25" t="n">
        <f aca="false">G31^2/1029.4</f>
        <v>0.00874295706236643</v>
      </c>
      <c r="O31" s="26" t="n">
        <f aca="false">N31*J31</f>
        <v>0.268059063532155</v>
      </c>
      <c r="P31" s="25" t="n">
        <f aca="false">(F31^2-G31^2)/1029.4</f>
        <v>0.0155430347775403</v>
      </c>
      <c r="Q31" s="26" t="n">
        <f aca="false">P31*J31</f>
        <v>0.476549446279386</v>
      </c>
    </row>
    <row r="32" customFormat="false" ht="15" hidden="false" customHeight="true" outlineLevel="0" collapsed="false">
      <c r="A32" s="22" t="n">
        <v>31</v>
      </c>
      <c r="B32" s="22" t="n">
        <v>24</v>
      </c>
      <c r="C32" s="22"/>
      <c r="D32" s="22" t="s">
        <v>168</v>
      </c>
      <c r="E32" s="22" t="s">
        <v>157</v>
      </c>
      <c r="F32" s="23" t="n">
        <v>5</v>
      </c>
      <c r="G32" s="23" t="n">
        <v>3</v>
      </c>
      <c r="H32" s="20" t="n">
        <v>49.3</v>
      </c>
      <c r="I32" s="22" t="s">
        <v>133</v>
      </c>
      <c r="J32" s="20" t="n">
        <v>30.3</v>
      </c>
      <c r="K32" s="24" t="n">
        <f aca="false">K31+J32</f>
        <v>861.65</v>
      </c>
      <c r="L32" s="24" t="n">
        <f aca="false">Well_Data!$B$10-K32</f>
        <v>11638.35</v>
      </c>
      <c r="M32" s="24" t="n">
        <f aca="false">Well_Data!$B$10-K32+J32</f>
        <v>11668.65</v>
      </c>
      <c r="N32" s="25" t="n">
        <f aca="false">G32^2/1029.4</f>
        <v>0.00874295706236643</v>
      </c>
      <c r="O32" s="26" t="n">
        <f aca="false">N32*J32</f>
        <v>0.264911598989703</v>
      </c>
      <c r="P32" s="25" t="n">
        <f aca="false">(F32^2-G32^2)/1029.4</f>
        <v>0.0155430347775403</v>
      </c>
      <c r="Q32" s="26" t="n">
        <f aca="false">P32*J32</f>
        <v>0.470953953759472</v>
      </c>
    </row>
    <row r="33" customFormat="false" ht="15" hidden="false" customHeight="true" outlineLevel="0" collapsed="false">
      <c r="A33" s="22" t="n">
        <v>32</v>
      </c>
      <c r="B33" s="22" t="n">
        <v>25</v>
      </c>
      <c r="C33" s="22"/>
      <c r="D33" s="22" t="s">
        <v>169</v>
      </c>
      <c r="E33" s="22" t="s">
        <v>157</v>
      </c>
      <c r="F33" s="23" t="n">
        <v>5</v>
      </c>
      <c r="G33" s="23" t="n">
        <v>3</v>
      </c>
      <c r="H33" s="20" t="n">
        <v>49.3</v>
      </c>
      <c r="I33" s="22" t="s">
        <v>133</v>
      </c>
      <c r="J33" s="20" t="n">
        <v>30.4</v>
      </c>
      <c r="K33" s="24" t="n">
        <f aca="false">K32+J33</f>
        <v>892.05</v>
      </c>
      <c r="L33" s="24" t="n">
        <f aca="false">Well_Data!$B$10-K33</f>
        <v>11607.95</v>
      </c>
      <c r="M33" s="24" t="n">
        <f aca="false">Well_Data!$B$10-K33+J33</f>
        <v>11638.35</v>
      </c>
      <c r="N33" s="25" t="n">
        <f aca="false">G33^2/1029.4</f>
        <v>0.00874295706236643</v>
      </c>
      <c r="O33" s="26" t="n">
        <f aca="false">N33*J33</f>
        <v>0.265785894695939</v>
      </c>
      <c r="P33" s="25" t="n">
        <f aca="false">(F33^2-G33^2)/1029.4</f>
        <v>0.0155430347775403</v>
      </c>
      <c r="Q33" s="26" t="n">
        <f aca="false">P33*J33</f>
        <v>0.472508257237226</v>
      </c>
    </row>
    <row r="34" customFormat="false" ht="15" hidden="false" customHeight="true" outlineLevel="0" collapsed="false">
      <c r="A34" s="22" t="n">
        <v>33</v>
      </c>
      <c r="B34" s="22" t="n">
        <v>26</v>
      </c>
      <c r="C34" s="22"/>
      <c r="D34" s="22" t="s">
        <v>170</v>
      </c>
      <c r="E34" s="22" t="s">
        <v>157</v>
      </c>
      <c r="F34" s="23" t="n">
        <v>5</v>
      </c>
      <c r="G34" s="23" t="n">
        <v>3</v>
      </c>
      <c r="H34" s="20" t="n">
        <v>49.3</v>
      </c>
      <c r="I34" s="22" t="s">
        <v>133</v>
      </c>
      <c r="J34" s="20" t="n">
        <v>30.48</v>
      </c>
      <c r="K34" s="24" t="n">
        <f aca="false">K33+J34</f>
        <v>922.53</v>
      </c>
      <c r="L34" s="24" t="n">
        <f aca="false">Well_Data!$B$10-K34</f>
        <v>11577.47</v>
      </c>
      <c r="M34" s="24" t="n">
        <f aca="false">Well_Data!$B$10-K34+J34</f>
        <v>11607.95</v>
      </c>
      <c r="N34" s="25" t="n">
        <f aca="false">G34^2/1029.4</f>
        <v>0.00874295706236643</v>
      </c>
      <c r="O34" s="26" t="n">
        <f aca="false">N34*J34</f>
        <v>0.266485331260929</v>
      </c>
      <c r="P34" s="25" t="n">
        <f aca="false">(F34^2-G34^2)/1029.4</f>
        <v>0.0155430347775403</v>
      </c>
      <c r="Q34" s="26" t="n">
        <f aca="false">P34*J34</f>
        <v>0.473751700019429</v>
      </c>
    </row>
    <row r="35" customFormat="false" ht="15" hidden="false" customHeight="true" outlineLevel="0" collapsed="false">
      <c r="A35" s="22" t="n">
        <v>34</v>
      </c>
      <c r="B35" s="22" t="n">
        <v>27</v>
      </c>
      <c r="C35" s="22"/>
      <c r="D35" s="22" t="s">
        <v>171</v>
      </c>
      <c r="E35" s="22" t="s">
        <v>157</v>
      </c>
      <c r="F35" s="23" t="n">
        <v>5</v>
      </c>
      <c r="G35" s="23" t="n">
        <v>3</v>
      </c>
      <c r="H35" s="20" t="n">
        <v>49.3</v>
      </c>
      <c r="I35" s="22" t="s">
        <v>133</v>
      </c>
      <c r="J35" s="20" t="n">
        <v>30.71</v>
      </c>
      <c r="K35" s="24" t="n">
        <f aca="false">K34+J35</f>
        <v>953.24</v>
      </c>
      <c r="L35" s="24" t="n">
        <f aca="false">Well_Data!$B$10-K35</f>
        <v>11546.76</v>
      </c>
      <c r="M35" s="24" t="n">
        <f aca="false">Well_Data!$B$10-K35+J35</f>
        <v>11577.47</v>
      </c>
      <c r="N35" s="25" t="n">
        <f aca="false">G35^2/1029.4</f>
        <v>0.00874295706236643</v>
      </c>
      <c r="O35" s="26" t="n">
        <f aca="false">N35*J35</f>
        <v>0.268496211385273</v>
      </c>
      <c r="P35" s="25" t="n">
        <f aca="false">(F35^2-G35^2)/1029.4</f>
        <v>0.0155430347775403</v>
      </c>
      <c r="Q35" s="26" t="n">
        <f aca="false">P35*J35</f>
        <v>0.477326598018263</v>
      </c>
    </row>
    <row r="36" customFormat="false" ht="15" hidden="false" customHeight="true" outlineLevel="0" collapsed="false">
      <c r="A36" s="22" t="n">
        <v>35</v>
      </c>
      <c r="B36" s="22" t="n">
        <v>28</v>
      </c>
      <c r="C36" s="22"/>
      <c r="D36" s="22" t="s">
        <v>172</v>
      </c>
      <c r="E36" s="22" t="s">
        <v>157</v>
      </c>
      <c r="F36" s="23" t="n">
        <v>5</v>
      </c>
      <c r="G36" s="23" t="n">
        <v>3</v>
      </c>
      <c r="H36" s="20" t="n">
        <v>49.3</v>
      </c>
      <c r="I36" s="22" t="s">
        <v>133</v>
      </c>
      <c r="J36" s="20" t="n">
        <v>30.3</v>
      </c>
      <c r="K36" s="24" t="n">
        <f aca="false">K35+J36</f>
        <v>983.54</v>
      </c>
      <c r="L36" s="24" t="n">
        <f aca="false">Well_Data!$B$10-K36</f>
        <v>11516.46</v>
      </c>
      <c r="M36" s="24" t="n">
        <f aca="false">Well_Data!$B$10-K36+J36</f>
        <v>11546.76</v>
      </c>
      <c r="N36" s="25" t="n">
        <f aca="false">G36^2/1029.4</f>
        <v>0.00874295706236643</v>
      </c>
      <c r="O36" s="26" t="n">
        <f aca="false">N36*J36</f>
        <v>0.264911598989703</v>
      </c>
      <c r="P36" s="25" t="n">
        <f aca="false">(F36^2-G36^2)/1029.4</f>
        <v>0.0155430347775403</v>
      </c>
      <c r="Q36" s="26" t="n">
        <f aca="false">P36*J36</f>
        <v>0.470953953759472</v>
      </c>
    </row>
    <row r="37" customFormat="false" ht="15" hidden="false" customHeight="true" outlineLevel="0" collapsed="false">
      <c r="A37" s="22" t="n">
        <v>36</v>
      </c>
      <c r="B37" s="22" t="n">
        <v>29</v>
      </c>
      <c r="C37" s="22"/>
      <c r="D37" s="22" t="s">
        <v>173</v>
      </c>
      <c r="E37" s="22" t="s">
        <v>157</v>
      </c>
      <c r="F37" s="23" t="n">
        <v>5</v>
      </c>
      <c r="G37" s="23" t="n">
        <v>3</v>
      </c>
      <c r="H37" s="20" t="n">
        <v>49.3</v>
      </c>
      <c r="I37" s="22" t="s">
        <v>133</v>
      </c>
      <c r="J37" s="20" t="n">
        <v>30.6</v>
      </c>
      <c r="K37" s="24" t="n">
        <f aca="false">K36+J37</f>
        <v>1014.14</v>
      </c>
      <c r="L37" s="24" t="n">
        <f aca="false">Well_Data!$B$10-K37</f>
        <v>11485.86</v>
      </c>
      <c r="M37" s="24" t="n">
        <f aca="false">Well_Data!$B$10-K37+J37</f>
        <v>11516.46</v>
      </c>
      <c r="N37" s="25" t="n">
        <f aca="false">G37^2/1029.4</f>
        <v>0.00874295706236643</v>
      </c>
      <c r="O37" s="26" t="n">
        <f aca="false">N37*J37</f>
        <v>0.267534486108413</v>
      </c>
      <c r="P37" s="25" t="n">
        <f aca="false">(F37^2-G37^2)/1029.4</f>
        <v>0.0155430347775403</v>
      </c>
      <c r="Q37" s="26" t="n">
        <f aca="false">P37*J37</f>
        <v>0.475616864192734</v>
      </c>
    </row>
    <row r="38" customFormat="false" ht="15" hidden="false" customHeight="true" outlineLevel="0" collapsed="false">
      <c r="A38" s="22" t="n">
        <v>37</v>
      </c>
      <c r="B38" s="22" t="n">
        <v>30</v>
      </c>
      <c r="C38" s="22"/>
      <c r="D38" s="22" t="s">
        <v>174</v>
      </c>
      <c r="E38" s="22" t="s">
        <v>157</v>
      </c>
      <c r="F38" s="23" t="n">
        <v>5</v>
      </c>
      <c r="G38" s="23" t="n">
        <v>3</v>
      </c>
      <c r="H38" s="20" t="n">
        <v>49.3</v>
      </c>
      <c r="I38" s="22" t="s">
        <v>133</v>
      </c>
      <c r="J38" s="20" t="n">
        <v>30.31</v>
      </c>
      <c r="K38" s="24" t="n">
        <f aca="false">K37+J38</f>
        <v>1044.45</v>
      </c>
      <c r="L38" s="24" t="n">
        <f aca="false">Well_Data!$B$10-K38</f>
        <v>11455.55</v>
      </c>
      <c r="M38" s="24" t="n">
        <f aca="false">Well_Data!$B$10-K38+J38</f>
        <v>11485.86</v>
      </c>
      <c r="N38" s="25" t="n">
        <f aca="false">G38^2/1029.4</f>
        <v>0.00874295706236643</v>
      </c>
      <c r="O38" s="26" t="n">
        <f aca="false">N38*J38</f>
        <v>0.264999028560326</v>
      </c>
      <c r="P38" s="25" t="n">
        <f aca="false">(F38^2-G38^2)/1029.4</f>
        <v>0.0155430347775403</v>
      </c>
      <c r="Q38" s="26" t="n">
        <f aca="false">P38*J38</f>
        <v>0.471109384107247</v>
      </c>
    </row>
    <row r="39" customFormat="false" ht="15" hidden="false" customHeight="true" outlineLevel="0" collapsed="false">
      <c r="A39" s="22" t="n">
        <v>38</v>
      </c>
      <c r="B39" s="22" t="n">
        <v>31</v>
      </c>
      <c r="C39" s="22"/>
      <c r="D39" s="22" t="s">
        <v>175</v>
      </c>
      <c r="E39" s="22" t="s">
        <v>157</v>
      </c>
      <c r="F39" s="23" t="n">
        <v>5</v>
      </c>
      <c r="G39" s="23" t="n">
        <v>3</v>
      </c>
      <c r="H39" s="20" t="n">
        <v>49.3</v>
      </c>
      <c r="I39" s="22" t="s">
        <v>133</v>
      </c>
      <c r="J39" s="20" t="n">
        <v>30.5</v>
      </c>
      <c r="K39" s="24" t="n">
        <f aca="false">K38+J39</f>
        <v>1074.95</v>
      </c>
      <c r="L39" s="24" t="n">
        <f aca="false">Well_Data!$B$10-K39</f>
        <v>11425.05</v>
      </c>
      <c r="M39" s="24" t="n">
        <f aca="false">Well_Data!$B$10-K39+J39</f>
        <v>11455.55</v>
      </c>
      <c r="N39" s="25" t="n">
        <f aca="false">G39^2/1029.4</f>
        <v>0.00874295706236643</v>
      </c>
      <c r="O39" s="26" t="n">
        <f aca="false">N39*J39</f>
        <v>0.266660190402176</v>
      </c>
      <c r="P39" s="25" t="n">
        <f aca="false">(F39^2-G39^2)/1029.4</f>
        <v>0.0155430347775403</v>
      </c>
      <c r="Q39" s="26" t="n">
        <f aca="false">P39*J39</f>
        <v>0.47406256071498</v>
      </c>
    </row>
    <row r="40" customFormat="false" ht="15" hidden="false" customHeight="true" outlineLevel="0" collapsed="false">
      <c r="A40" s="22" t="n">
        <v>39</v>
      </c>
      <c r="B40" s="22" t="n">
        <v>32</v>
      </c>
      <c r="C40" s="22"/>
      <c r="D40" s="22" t="s">
        <v>176</v>
      </c>
      <c r="E40" s="22" t="s">
        <v>157</v>
      </c>
      <c r="F40" s="23" t="n">
        <v>5</v>
      </c>
      <c r="G40" s="23" t="n">
        <v>3</v>
      </c>
      <c r="H40" s="20" t="n">
        <v>49.3</v>
      </c>
      <c r="I40" s="22" t="s">
        <v>133</v>
      </c>
      <c r="J40" s="20" t="n">
        <v>30.61</v>
      </c>
      <c r="K40" s="24" t="n">
        <f aca="false">K39+J40</f>
        <v>1105.56</v>
      </c>
      <c r="L40" s="24" t="n">
        <f aca="false">Well_Data!$B$10-K40</f>
        <v>11394.44</v>
      </c>
      <c r="M40" s="24" t="n">
        <f aca="false">Well_Data!$B$10-K40+J40</f>
        <v>11425.05</v>
      </c>
      <c r="N40" s="25" t="n">
        <f aca="false">G40^2/1029.4</f>
        <v>0.00874295706236643</v>
      </c>
      <c r="O40" s="26" t="n">
        <f aca="false">N40*J40</f>
        <v>0.267621915679036</v>
      </c>
      <c r="P40" s="25" t="n">
        <f aca="false">(F40^2-G40^2)/1029.4</f>
        <v>0.0155430347775403</v>
      </c>
      <c r="Q40" s="26" t="n">
        <f aca="false">P40*J40</f>
        <v>0.475772294540509</v>
      </c>
    </row>
    <row r="41" customFormat="false" ht="15" hidden="false" customHeight="true" outlineLevel="0" collapsed="false">
      <c r="A41" s="22" t="n">
        <v>40</v>
      </c>
      <c r="B41" s="22" t="n">
        <v>33</v>
      </c>
      <c r="C41" s="22"/>
      <c r="D41" s="22" t="s">
        <v>177</v>
      </c>
      <c r="E41" s="22" t="s">
        <v>157</v>
      </c>
      <c r="F41" s="23" t="n">
        <v>5</v>
      </c>
      <c r="G41" s="23" t="n">
        <v>3</v>
      </c>
      <c r="H41" s="20" t="n">
        <v>49.3</v>
      </c>
      <c r="I41" s="22" t="s">
        <v>133</v>
      </c>
      <c r="J41" s="20" t="n">
        <v>30.65</v>
      </c>
      <c r="K41" s="24" t="n">
        <f aca="false">K40+J41</f>
        <v>1136.21</v>
      </c>
      <c r="L41" s="24" t="n">
        <f aca="false">Well_Data!$B$10-K41</f>
        <v>11363.79</v>
      </c>
      <c r="M41" s="24" t="n">
        <f aca="false">Well_Data!$B$10-K41+J41</f>
        <v>11394.44</v>
      </c>
      <c r="N41" s="25" t="n">
        <f aca="false">G41^2/1029.4</f>
        <v>0.00874295706236643</v>
      </c>
      <c r="O41" s="26" t="n">
        <f aca="false">N41*J41</f>
        <v>0.267971633961531</v>
      </c>
      <c r="P41" s="25" t="n">
        <f aca="false">(F41^2-G41^2)/1029.4</f>
        <v>0.0155430347775403</v>
      </c>
      <c r="Q41" s="26" t="n">
        <f aca="false">P41*J41</f>
        <v>0.476394015931611</v>
      </c>
    </row>
    <row r="42" customFormat="false" ht="15" hidden="false" customHeight="true" outlineLevel="0" collapsed="false">
      <c r="A42" s="22" t="n">
        <v>41</v>
      </c>
      <c r="B42" s="22" t="n">
        <v>34</v>
      </c>
      <c r="C42" s="22" t="n">
        <v>1</v>
      </c>
      <c r="D42" s="22" t="s">
        <v>178</v>
      </c>
      <c r="E42" s="22" t="s">
        <v>179</v>
      </c>
      <c r="F42" s="23" t="n">
        <v>5</v>
      </c>
      <c r="G42" s="23" t="n">
        <v>4.276</v>
      </c>
      <c r="H42" s="20" t="n">
        <v>19.5</v>
      </c>
      <c r="I42" s="22" t="s">
        <v>180</v>
      </c>
      <c r="J42" s="20" t="n">
        <v>31.3</v>
      </c>
      <c r="K42" s="24" t="n">
        <f aca="false">K41+J42</f>
        <v>1167.51</v>
      </c>
      <c r="L42" s="24" t="n">
        <f aca="false">Well_Data!$B$10-K42</f>
        <v>11332.49</v>
      </c>
      <c r="M42" s="24" t="n">
        <f aca="false">Well_Data!$B$10-K42+J42</f>
        <v>11363.79</v>
      </c>
      <c r="N42" s="25" t="n">
        <f aca="false">G42^2/1029.4</f>
        <v>0.0177619739654167</v>
      </c>
      <c r="O42" s="26" t="n">
        <f aca="false">N42*J42</f>
        <v>0.555949785117544</v>
      </c>
      <c r="P42" s="25" t="n">
        <f aca="false">(F42^2-G42^2)/1029.4</f>
        <v>0.00652401787449</v>
      </c>
      <c r="Q42" s="26" t="n">
        <f aca="false">P42*J42</f>
        <v>0.204201759471537</v>
      </c>
    </row>
    <row r="43" customFormat="false" ht="15" hidden="false" customHeight="true" outlineLevel="0" collapsed="false">
      <c r="A43" s="22" t="n">
        <v>42</v>
      </c>
      <c r="B43" s="22" t="n">
        <v>35</v>
      </c>
      <c r="C43" s="22" t="n">
        <v>1</v>
      </c>
      <c r="D43" s="22" t="s">
        <v>178</v>
      </c>
      <c r="E43" s="22" t="s">
        <v>179</v>
      </c>
      <c r="F43" s="23" t="n">
        <v>5</v>
      </c>
      <c r="G43" s="23" t="n">
        <v>4.276</v>
      </c>
      <c r="H43" s="20" t="n">
        <v>19.5</v>
      </c>
      <c r="I43" s="22" t="s">
        <v>180</v>
      </c>
      <c r="J43" s="20" t="n">
        <v>31.28</v>
      </c>
      <c r="K43" s="24" t="n">
        <f aca="false">K42+J43</f>
        <v>1198.79</v>
      </c>
      <c r="L43" s="24" t="n">
        <f aca="false">Well_Data!$B$10-K43</f>
        <v>11301.21</v>
      </c>
      <c r="M43" s="24" t="n">
        <f aca="false">Well_Data!$B$10-K43+J43</f>
        <v>11332.49</v>
      </c>
      <c r="N43" s="25" t="n">
        <f aca="false">G43^2/1029.4</f>
        <v>0.0177619739654167</v>
      </c>
      <c r="O43" s="26" t="n">
        <f aca="false">N43*J43</f>
        <v>0.555594545638236</v>
      </c>
      <c r="P43" s="25" t="n">
        <f aca="false">(F43^2-G43^2)/1029.4</f>
        <v>0.00652401787449</v>
      </c>
      <c r="Q43" s="26" t="n">
        <f aca="false">P43*J43</f>
        <v>0.204071279114047</v>
      </c>
    </row>
    <row r="44" customFormat="false" ht="15" hidden="false" customHeight="true" outlineLevel="0" collapsed="false">
      <c r="A44" s="22" t="n">
        <v>43</v>
      </c>
      <c r="B44" s="22" t="n">
        <v>36</v>
      </c>
      <c r="C44" s="22" t="n">
        <v>1</v>
      </c>
      <c r="D44" s="22" t="s">
        <v>178</v>
      </c>
      <c r="E44" s="22" t="s">
        <v>179</v>
      </c>
      <c r="F44" s="23" t="n">
        <v>5</v>
      </c>
      <c r="G44" s="23" t="n">
        <v>4.276</v>
      </c>
      <c r="H44" s="20" t="n">
        <v>19.5</v>
      </c>
      <c r="I44" s="22" t="s">
        <v>180</v>
      </c>
      <c r="J44" s="20" t="n">
        <v>31.24</v>
      </c>
      <c r="K44" s="24" t="n">
        <f aca="false">K43+J44</f>
        <v>1230.03</v>
      </c>
      <c r="L44" s="24" t="n">
        <f aca="false">Well_Data!$B$10-K44</f>
        <v>11269.97</v>
      </c>
      <c r="M44" s="24" t="n">
        <f aca="false">Well_Data!$B$10-K44+J44</f>
        <v>11301.21</v>
      </c>
      <c r="N44" s="25" t="n">
        <f aca="false">G44^2/1029.4</f>
        <v>0.0177619739654167</v>
      </c>
      <c r="O44" s="26" t="n">
        <f aca="false">N44*J44</f>
        <v>0.554884066679619</v>
      </c>
      <c r="P44" s="25" t="n">
        <f aca="false">(F44^2-G44^2)/1029.4</f>
        <v>0.00652401787449</v>
      </c>
      <c r="Q44" s="26" t="n">
        <f aca="false">P44*J44</f>
        <v>0.203810318399067</v>
      </c>
    </row>
    <row r="45" customFormat="false" ht="15" hidden="false" customHeight="true" outlineLevel="0" collapsed="false">
      <c r="A45" s="22" t="n">
        <v>44</v>
      </c>
      <c r="B45" s="22" t="n">
        <v>37</v>
      </c>
      <c r="C45" s="22" t="n">
        <v>2</v>
      </c>
      <c r="D45" s="22" t="s">
        <v>178</v>
      </c>
      <c r="E45" s="22" t="s">
        <v>179</v>
      </c>
      <c r="F45" s="23" t="n">
        <v>5</v>
      </c>
      <c r="G45" s="23" t="n">
        <v>4.276</v>
      </c>
      <c r="H45" s="20" t="n">
        <v>19.5</v>
      </c>
      <c r="I45" s="22" t="s">
        <v>180</v>
      </c>
      <c r="J45" s="20" t="n">
        <v>31.47</v>
      </c>
      <c r="K45" s="24" t="n">
        <f aca="false">K44+J45</f>
        <v>1261.5</v>
      </c>
      <c r="L45" s="24" t="n">
        <f aca="false">Well_Data!$B$10-K45</f>
        <v>11238.5</v>
      </c>
      <c r="M45" s="24" t="n">
        <f aca="false">Well_Data!$B$10-K45+J45</f>
        <v>11269.97</v>
      </c>
      <c r="N45" s="25" t="n">
        <f aca="false">G45^2/1029.4</f>
        <v>0.0177619739654167</v>
      </c>
      <c r="O45" s="26" t="n">
        <f aca="false">N45*J45</f>
        <v>0.558969320691665</v>
      </c>
      <c r="P45" s="25" t="n">
        <f aca="false">(F45^2-G45^2)/1029.4</f>
        <v>0.00652401787449</v>
      </c>
      <c r="Q45" s="26" t="n">
        <f aca="false">P45*J45</f>
        <v>0.2053108425102</v>
      </c>
    </row>
    <row r="46" customFormat="false" ht="15" hidden="false" customHeight="true" outlineLevel="0" collapsed="false">
      <c r="A46" s="22" t="n">
        <v>45</v>
      </c>
      <c r="B46" s="22" t="n">
        <v>38</v>
      </c>
      <c r="C46" s="22" t="n">
        <v>2</v>
      </c>
      <c r="D46" s="22" t="s">
        <v>178</v>
      </c>
      <c r="E46" s="22" t="s">
        <v>179</v>
      </c>
      <c r="F46" s="23" t="n">
        <v>5</v>
      </c>
      <c r="G46" s="23" t="n">
        <v>4.276</v>
      </c>
      <c r="H46" s="20" t="n">
        <v>19.5</v>
      </c>
      <c r="I46" s="22" t="s">
        <v>180</v>
      </c>
      <c r="J46" s="20" t="n">
        <v>31.11</v>
      </c>
      <c r="K46" s="24" t="n">
        <f aca="false">K45+J46</f>
        <v>1292.61</v>
      </c>
      <c r="L46" s="24" t="n">
        <f aca="false">Well_Data!$B$10-K46</f>
        <v>11207.39</v>
      </c>
      <c r="M46" s="24" t="n">
        <f aca="false">Well_Data!$B$10-K46+J46</f>
        <v>11238.5</v>
      </c>
      <c r="N46" s="25" t="n">
        <f aca="false">G46^2/1029.4</f>
        <v>0.0177619739654167</v>
      </c>
      <c r="O46" s="26" t="n">
        <f aca="false">N46*J46</f>
        <v>0.552575010064115</v>
      </c>
      <c r="P46" s="25" t="n">
        <f aca="false">(F46^2-G46^2)/1029.4</f>
        <v>0.00652401787449</v>
      </c>
      <c r="Q46" s="26" t="n">
        <f aca="false">P46*J46</f>
        <v>0.202962196075384</v>
      </c>
    </row>
    <row r="47" customFormat="false" ht="15" hidden="false" customHeight="true" outlineLevel="0" collapsed="false">
      <c r="A47" s="22" t="n">
        <v>46</v>
      </c>
      <c r="B47" s="22" t="n">
        <v>39</v>
      </c>
      <c r="C47" s="22" t="n">
        <v>2</v>
      </c>
      <c r="D47" s="22" t="s">
        <v>178</v>
      </c>
      <c r="E47" s="22" t="s">
        <v>179</v>
      </c>
      <c r="F47" s="23" t="n">
        <v>5</v>
      </c>
      <c r="G47" s="23" t="n">
        <v>4.276</v>
      </c>
      <c r="H47" s="20" t="n">
        <v>19.5</v>
      </c>
      <c r="I47" s="22" t="s">
        <v>180</v>
      </c>
      <c r="J47" s="20" t="n">
        <v>31.12</v>
      </c>
      <c r="K47" s="24" t="n">
        <f aca="false">K46+J47</f>
        <v>1323.73</v>
      </c>
      <c r="L47" s="24" t="n">
        <f aca="false">Well_Data!$B$10-K47</f>
        <v>11176.27</v>
      </c>
      <c r="M47" s="24" t="n">
        <f aca="false">Well_Data!$B$10-K47+J47</f>
        <v>11207.39</v>
      </c>
      <c r="N47" s="25" t="n">
        <f aca="false">G47^2/1029.4</f>
        <v>0.0177619739654167</v>
      </c>
      <c r="O47" s="26" t="n">
        <f aca="false">N47*J47</f>
        <v>0.552752629803769</v>
      </c>
      <c r="P47" s="25" t="n">
        <f aca="false">(F47^2-G47^2)/1029.4</f>
        <v>0.00652401787449</v>
      </c>
      <c r="Q47" s="26" t="n">
        <f aca="false">P47*J47</f>
        <v>0.203027436254129</v>
      </c>
    </row>
    <row r="48" customFormat="false" ht="15" hidden="false" customHeight="true" outlineLevel="0" collapsed="false">
      <c r="A48" s="22" t="n">
        <v>47</v>
      </c>
      <c r="B48" s="22" t="n">
        <v>40</v>
      </c>
      <c r="C48" s="22" t="n">
        <v>3</v>
      </c>
      <c r="D48" s="22" t="s">
        <v>178</v>
      </c>
      <c r="E48" s="22" t="s">
        <v>179</v>
      </c>
      <c r="F48" s="23" t="n">
        <v>5</v>
      </c>
      <c r="G48" s="23" t="n">
        <v>4.276</v>
      </c>
      <c r="H48" s="20" t="n">
        <v>19.5</v>
      </c>
      <c r="I48" s="22" t="s">
        <v>180</v>
      </c>
      <c r="J48" s="20" t="n">
        <v>31.17</v>
      </c>
      <c r="K48" s="24" t="n">
        <f aca="false">K47+J48</f>
        <v>1354.9</v>
      </c>
      <c r="L48" s="24" t="n">
        <f aca="false">Well_Data!$B$10-K48</f>
        <v>11145.1</v>
      </c>
      <c r="M48" s="24" t="n">
        <f aca="false">Well_Data!$B$10-K48+J48</f>
        <v>11176.27</v>
      </c>
      <c r="N48" s="25" t="n">
        <f aca="false">G48^2/1029.4</f>
        <v>0.0177619739654167</v>
      </c>
      <c r="O48" s="26" t="n">
        <f aca="false">N48*J48</f>
        <v>0.55364072850204</v>
      </c>
      <c r="P48" s="25" t="n">
        <f aca="false">(F48^2-G48^2)/1029.4</f>
        <v>0.00652401787449</v>
      </c>
      <c r="Q48" s="26" t="n">
        <f aca="false">P48*J48</f>
        <v>0.203353637147853</v>
      </c>
    </row>
    <row r="49" customFormat="false" ht="15" hidden="false" customHeight="true" outlineLevel="0" collapsed="false">
      <c r="A49" s="22" t="n">
        <v>48</v>
      </c>
      <c r="B49" s="22" t="n">
        <v>41</v>
      </c>
      <c r="C49" s="22" t="n">
        <v>3</v>
      </c>
      <c r="D49" s="22" t="s">
        <v>178</v>
      </c>
      <c r="E49" s="22" t="s">
        <v>179</v>
      </c>
      <c r="F49" s="23" t="n">
        <v>5</v>
      </c>
      <c r="G49" s="23" t="n">
        <v>4.276</v>
      </c>
      <c r="H49" s="20" t="n">
        <v>19.5</v>
      </c>
      <c r="I49" s="22" t="s">
        <v>180</v>
      </c>
      <c r="J49" s="20" t="n">
        <v>31.2</v>
      </c>
      <c r="K49" s="24" t="n">
        <f aca="false">K48+J49</f>
        <v>1386.1</v>
      </c>
      <c r="L49" s="24" t="n">
        <f aca="false">Well_Data!$B$10-K49</f>
        <v>11113.9</v>
      </c>
      <c r="M49" s="24" t="n">
        <f aca="false">Well_Data!$B$10-K49+J49</f>
        <v>11145.1</v>
      </c>
      <c r="N49" s="25" t="n">
        <f aca="false">G49^2/1029.4</f>
        <v>0.0177619739654167</v>
      </c>
      <c r="O49" s="26" t="n">
        <f aca="false">N49*J49</f>
        <v>0.554173587721002</v>
      </c>
      <c r="P49" s="25" t="n">
        <f aca="false">(F49^2-G49^2)/1029.4</f>
        <v>0.00652401787449</v>
      </c>
      <c r="Q49" s="26" t="n">
        <f aca="false">P49*J49</f>
        <v>0.203549357684088</v>
      </c>
    </row>
    <row r="50" customFormat="false" ht="15" hidden="false" customHeight="true" outlineLevel="0" collapsed="false">
      <c r="A50" s="22" t="n">
        <v>49</v>
      </c>
      <c r="B50" s="22" t="n">
        <v>42</v>
      </c>
      <c r="C50" s="22" t="n">
        <v>3</v>
      </c>
      <c r="D50" s="22" t="s">
        <v>178</v>
      </c>
      <c r="E50" s="22" t="s">
        <v>179</v>
      </c>
      <c r="F50" s="23" t="n">
        <v>5</v>
      </c>
      <c r="G50" s="23" t="n">
        <v>4.276</v>
      </c>
      <c r="H50" s="20" t="n">
        <v>19.5</v>
      </c>
      <c r="I50" s="22" t="s">
        <v>180</v>
      </c>
      <c r="J50" s="20" t="n">
        <v>31.16</v>
      </c>
      <c r="K50" s="24" t="n">
        <f aca="false">K49+J50</f>
        <v>1417.26</v>
      </c>
      <c r="L50" s="24" t="n">
        <f aca="false">Well_Data!$B$10-K50</f>
        <v>11082.74</v>
      </c>
      <c r="M50" s="24" t="n">
        <f aca="false">Well_Data!$B$10-K50+J50</f>
        <v>11113.9</v>
      </c>
      <c r="N50" s="25" t="n">
        <f aca="false">G50^2/1029.4</f>
        <v>0.0177619739654167</v>
      </c>
      <c r="O50" s="26" t="n">
        <f aca="false">N50*J50</f>
        <v>0.553463108762386</v>
      </c>
      <c r="P50" s="25" t="n">
        <f aca="false">(F50^2-G50^2)/1029.4</f>
        <v>0.00652401787449</v>
      </c>
      <c r="Q50" s="26" t="n">
        <f aca="false">P50*J50</f>
        <v>0.203288396969108</v>
      </c>
    </row>
    <row r="51" customFormat="false" ht="15" hidden="false" customHeight="true" outlineLevel="0" collapsed="false">
      <c r="A51" s="22" t="n">
        <v>50</v>
      </c>
      <c r="B51" s="22" t="n">
        <v>43</v>
      </c>
      <c r="C51" s="22" t="n">
        <v>4</v>
      </c>
      <c r="D51" s="22" t="s">
        <v>178</v>
      </c>
      <c r="E51" s="22" t="s">
        <v>179</v>
      </c>
      <c r="F51" s="23" t="n">
        <v>5</v>
      </c>
      <c r="G51" s="23" t="n">
        <v>4.276</v>
      </c>
      <c r="H51" s="20" t="n">
        <v>19.5</v>
      </c>
      <c r="I51" s="22" t="s">
        <v>180</v>
      </c>
      <c r="J51" s="20" t="n">
        <v>31.47</v>
      </c>
      <c r="K51" s="24" t="n">
        <f aca="false">K50+J51</f>
        <v>1448.73</v>
      </c>
      <c r="L51" s="24" t="n">
        <f aca="false">Well_Data!$B$10-K51</f>
        <v>11051.27</v>
      </c>
      <c r="M51" s="24" t="n">
        <f aca="false">Well_Data!$B$10-K51+J51</f>
        <v>11082.74</v>
      </c>
      <c r="N51" s="25" t="n">
        <f aca="false">G51^2/1029.4</f>
        <v>0.0177619739654167</v>
      </c>
      <c r="O51" s="26" t="n">
        <f aca="false">N51*J51</f>
        <v>0.558969320691665</v>
      </c>
      <c r="P51" s="25" t="n">
        <f aca="false">(F51^2-G51^2)/1029.4</f>
        <v>0.00652401787449</v>
      </c>
      <c r="Q51" s="26" t="n">
        <f aca="false">P51*J51</f>
        <v>0.2053108425102</v>
      </c>
    </row>
    <row r="52" customFormat="false" ht="15" hidden="false" customHeight="true" outlineLevel="0" collapsed="false">
      <c r="A52" s="22" t="n">
        <v>51</v>
      </c>
      <c r="B52" s="22" t="n">
        <v>44</v>
      </c>
      <c r="C52" s="22" t="n">
        <v>4</v>
      </c>
      <c r="D52" s="22" t="s">
        <v>178</v>
      </c>
      <c r="E52" s="22" t="s">
        <v>179</v>
      </c>
      <c r="F52" s="23" t="n">
        <v>5</v>
      </c>
      <c r="G52" s="23" t="n">
        <v>4.276</v>
      </c>
      <c r="H52" s="20" t="n">
        <v>19.5</v>
      </c>
      <c r="I52" s="22" t="s">
        <v>180</v>
      </c>
      <c r="J52" s="20" t="n">
        <v>30.97</v>
      </c>
      <c r="K52" s="24" t="n">
        <f aca="false">K51+J52</f>
        <v>1479.7</v>
      </c>
      <c r="L52" s="24" t="n">
        <f aca="false">Well_Data!$B$10-K52</f>
        <v>11020.3</v>
      </c>
      <c r="M52" s="24" t="n">
        <f aca="false">Well_Data!$B$10-K52+J52</f>
        <v>11051.27</v>
      </c>
      <c r="N52" s="25" t="n">
        <f aca="false">G52^2/1029.4</f>
        <v>0.0177619739654167</v>
      </c>
      <c r="O52" s="26" t="n">
        <f aca="false">N52*J52</f>
        <v>0.550088333708957</v>
      </c>
      <c r="P52" s="25" t="n">
        <f aca="false">(F52^2-G52^2)/1029.4</f>
        <v>0.00652401787449</v>
      </c>
      <c r="Q52" s="26" t="n">
        <f aca="false">P52*J52</f>
        <v>0.202048833572955</v>
      </c>
    </row>
    <row r="53" customFormat="false" ht="15" hidden="false" customHeight="true" outlineLevel="0" collapsed="false">
      <c r="A53" s="22" t="n">
        <v>52</v>
      </c>
      <c r="B53" s="22" t="n">
        <v>45</v>
      </c>
      <c r="C53" s="22" t="n">
        <v>4</v>
      </c>
      <c r="D53" s="22" t="s">
        <v>178</v>
      </c>
      <c r="E53" s="22" t="s">
        <v>179</v>
      </c>
      <c r="F53" s="23" t="n">
        <v>5</v>
      </c>
      <c r="G53" s="23" t="n">
        <v>4.276</v>
      </c>
      <c r="H53" s="20" t="n">
        <v>19.5</v>
      </c>
      <c r="I53" s="22" t="s">
        <v>180</v>
      </c>
      <c r="J53" s="20" t="n">
        <v>31.44</v>
      </c>
      <c r="K53" s="24" t="n">
        <f aca="false">K52+J53</f>
        <v>1511.14</v>
      </c>
      <c r="L53" s="24" t="n">
        <f aca="false">Well_Data!$B$10-K53</f>
        <v>10988.86</v>
      </c>
      <c r="M53" s="24" t="n">
        <f aca="false">Well_Data!$B$10-K53+J53</f>
        <v>11020.3</v>
      </c>
      <c r="N53" s="25" t="n">
        <f aca="false">G53^2/1029.4</f>
        <v>0.0177619739654167</v>
      </c>
      <c r="O53" s="26" t="n">
        <f aca="false">N53*J53</f>
        <v>0.558436461472702</v>
      </c>
      <c r="P53" s="25" t="n">
        <f aca="false">(F53^2-G53^2)/1029.4</f>
        <v>0.00652401787449</v>
      </c>
      <c r="Q53" s="26" t="n">
        <f aca="false">P53*J53</f>
        <v>0.205115121973965</v>
      </c>
    </row>
    <row r="54" customFormat="false" ht="15" hidden="false" customHeight="true" outlineLevel="0" collapsed="false">
      <c r="A54" s="22" t="n">
        <v>53</v>
      </c>
      <c r="B54" s="22" t="n">
        <v>46</v>
      </c>
      <c r="C54" s="22" t="n">
        <v>5</v>
      </c>
      <c r="D54" s="22" t="s">
        <v>178</v>
      </c>
      <c r="E54" s="22" t="s">
        <v>179</v>
      </c>
      <c r="F54" s="23" t="n">
        <v>5</v>
      </c>
      <c r="G54" s="23" t="n">
        <v>4.276</v>
      </c>
      <c r="H54" s="20" t="n">
        <v>19.5</v>
      </c>
      <c r="I54" s="22" t="s">
        <v>180</v>
      </c>
      <c r="J54" s="20" t="n">
        <v>31.24</v>
      </c>
      <c r="K54" s="24" t="n">
        <f aca="false">K53+J54</f>
        <v>1542.38</v>
      </c>
      <c r="L54" s="24" t="n">
        <f aca="false">Well_Data!$B$10-K54</f>
        <v>10957.62</v>
      </c>
      <c r="M54" s="24" t="n">
        <f aca="false">Well_Data!$B$10-K54+J54</f>
        <v>10988.86</v>
      </c>
      <c r="N54" s="25" t="n">
        <f aca="false">G54^2/1029.4</f>
        <v>0.0177619739654167</v>
      </c>
      <c r="O54" s="26" t="n">
        <f aca="false">N54*J54</f>
        <v>0.554884066679619</v>
      </c>
      <c r="P54" s="25" t="n">
        <f aca="false">(F54^2-G54^2)/1029.4</f>
        <v>0.00652401787449</v>
      </c>
      <c r="Q54" s="26" t="n">
        <f aca="false">P54*J54</f>
        <v>0.203810318399067</v>
      </c>
    </row>
    <row r="55" customFormat="false" ht="15" hidden="false" customHeight="true" outlineLevel="0" collapsed="false">
      <c r="A55" s="22" t="n">
        <v>54</v>
      </c>
      <c r="B55" s="22" t="n">
        <v>47</v>
      </c>
      <c r="C55" s="22" t="n">
        <v>5</v>
      </c>
      <c r="D55" s="22" t="s">
        <v>178</v>
      </c>
      <c r="E55" s="22" t="s">
        <v>179</v>
      </c>
      <c r="F55" s="23" t="n">
        <v>5</v>
      </c>
      <c r="G55" s="23" t="n">
        <v>4.276</v>
      </c>
      <c r="H55" s="20" t="n">
        <v>19.5</v>
      </c>
      <c r="I55" s="22" t="s">
        <v>180</v>
      </c>
      <c r="J55" s="20" t="n">
        <v>31.23</v>
      </c>
      <c r="K55" s="24" t="n">
        <f aca="false">K54+J55</f>
        <v>1573.61</v>
      </c>
      <c r="L55" s="24" t="n">
        <f aca="false">Well_Data!$B$10-K55</f>
        <v>10926.39</v>
      </c>
      <c r="M55" s="24" t="n">
        <f aca="false">Well_Data!$B$10-K55+J55</f>
        <v>10957.62</v>
      </c>
      <c r="N55" s="25" t="n">
        <f aca="false">G55^2/1029.4</f>
        <v>0.0177619739654167</v>
      </c>
      <c r="O55" s="26" t="n">
        <f aca="false">N55*J55</f>
        <v>0.554706446939965</v>
      </c>
      <c r="P55" s="25" t="n">
        <f aca="false">(F55^2-G55^2)/1029.4</f>
        <v>0.00652401787449</v>
      </c>
      <c r="Q55" s="26" t="n">
        <f aca="false">P55*J55</f>
        <v>0.203745078220323</v>
      </c>
    </row>
    <row r="56" customFormat="false" ht="15" hidden="false" customHeight="true" outlineLevel="0" collapsed="false">
      <c r="A56" s="22" t="n">
        <v>55</v>
      </c>
      <c r="B56" s="22" t="n">
        <v>48</v>
      </c>
      <c r="C56" s="22" t="n">
        <v>5</v>
      </c>
      <c r="D56" s="22" t="s">
        <v>178</v>
      </c>
      <c r="E56" s="22" t="s">
        <v>179</v>
      </c>
      <c r="F56" s="23" t="n">
        <v>5</v>
      </c>
      <c r="G56" s="23" t="n">
        <v>4.276</v>
      </c>
      <c r="H56" s="20" t="n">
        <v>19.5</v>
      </c>
      <c r="I56" s="22" t="s">
        <v>180</v>
      </c>
      <c r="J56" s="20" t="n">
        <v>30.75</v>
      </c>
      <c r="K56" s="24" t="n">
        <f aca="false">K55+J56</f>
        <v>1604.36</v>
      </c>
      <c r="L56" s="24" t="n">
        <f aca="false">Well_Data!$B$10-K56</f>
        <v>10895.64</v>
      </c>
      <c r="M56" s="24" t="n">
        <f aca="false">Well_Data!$B$10-K56+J56</f>
        <v>10926.39</v>
      </c>
      <c r="N56" s="25" t="n">
        <f aca="false">G56^2/1029.4</f>
        <v>0.0177619739654167</v>
      </c>
      <c r="O56" s="26" t="n">
        <f aca="false">N56*J56</f>
        <v>0.546180699436565</v>
      </c>
      <c r="P56" s="25" t="n">
        <f aca="false">(F56^2-G56^2)/1029.4</f>
        <v>0.00652401787449</v>
      </c>
      <c r="Q56" s="26" t="n">
        <f aca="false">P56*J56</f>
        <v>0.200613549640567</v>
      </c>
    </row>
    <row r="57" customFormat="false" ht="15" hidden="false" customHeight="true" outlineLevel="0" collapsed="false">
      <c r="A57" s="22" t="n">
        <v>56</v>
      </c>
      <c r="B57" s="22" t="n">
        <v>49</v>
      </c>
      <c r="C57" s="22" t="n">
        <v>6</v>
      </c>
      <c r="D57" s="22" t="s">
        <v>178</v>
      </c>
      <c r="E57" s="22" t="s">
        <v>179</v>
      </c>
      <c r="F57" s="23" t="n">
        <v>5</v>
      </c>
      <c r="G57" s="23" t="n">
        <v>4.276</v>
      </c>
      <c r="H57" s="20" t="n">
        <v>19.5</v>
      </c>
      <c r="I57" s="22" t="s">
        <v>180</v>
      </c>
      <c r="J57" s="20" t="n">
        <v>30.94</v>
      </c>
      <c r="K57" s="24" t="n">
        <f aca="false">K56+J57</f>
        <v>1635.3</v>
      </c>
      <c r="L57" s="24" t="n">
        <f aca="false">Well_Data!$B$10-K57</f>
        <v>10864.7</v>
      </c>
      <c r="M57" s="24" t="n">
        <f aca="false">Well_Data!$B$10-K57+J57</f>
        <v>10895.64</v>
      </c>
      <c r="N57" s="25" t="n">
        <f aca="false">G57^2/1029.4</f>
        <v>0.0177619739654167</v>
      </c>
      <c r="O57" s="26" t="n">
        <f aca="false">N57*J57</f>
        <v>0.549555474489994</v>
      </c>
      <c r="P57" s="25" t="n">
        <f aca="false">(F57^2-G57^2)/1029.4</f>
        <v>0.00652401787449</v>
      </c>
      <c r="Q57" s="26" t="n">
        <f aca="false">P57*J57</f>
        <v>0.20185311303672</v>
      </c>
    </row>
    <row r="58" customFormat="false" ht="15" hidden="false" customHeight="true" outlineLevel="0" collapsed="false">
      <c r="A58" s="22" t="n">
        <v>57</v>
      </c>
      <c r="B58" s="22" t="n">
        <v>50</v>
      </c>
      <c r="C58" s="22" t="n">
        <v>6</v>
      </c>
      <c r="D58" s="22" t="s">
        <v>178</v>
      </c>
      <c r="E58" s="22" t="s">
        <v>179</v>
      </c>
      <c r="F58" s="23" t="n">
        <v>5</v>
      </c>
      <c r="G58" s="23" t="n">
        <v>4.276</v>
      </c>
      <c r="H58" s="20" t="n">
        <v>19.5</v>
      </c>
      <c r="I58" s="22" t="s">
        <v>180</v>
      </c>
      <c r="J58" s="20" t="n">
        <v>31.26</v>
      </c>
      <c r="K58" s="24" t="n">
        <f aca="false">K57+J58</f>
        <v>1666.56</v>
      </c>
      <c r="L58" s="24" t="n">
        <f aca="false">Well_Data!$B$10-K58</f>
        <v>10833.44</v>
      </c>
      <c r="M58" s="24" t="n">
        <f aca="false">Well_Data!$B$10-K58+J58</f>
        <v>10864.7</v>
      </c>
      <c r="N58" s="25" t="n">
        <f aca="false">G58^2/1029.4</f>
        <v>0.0177619739654167</v>
      </c>
      <c r="O58" s="26" t="n">
        <f aca="false">N58*J58</f>
        <v>0.555239306158928</v>
      </c>
      <c r="P58" s="25" t="n">
        <f aca="false">(F58^2-G58^2)/1029.4</f>
        <v>0.00652401787449</v>
      </c>
      <c r="Q58" s="26" t="n">
        <f aca="false">P58*J58</f>
        <v>0.203940798756557</v>
      </c>
    </row>
    <row r="59" customFormat="false" ht="15" hidden="false" customHeight="true" outlineLevel="0" collapsed="false">
      <c r="A59" s="22" t="n">
        <v>58</v>
      </c>
      <c r="B59" s="22" t="n">
        <v>51</v>
      </c>
      <c r="C59" s="22" t="n">
        <v>6</v>
      </c>
      <c r="D59" s="22" t="s">
        <v>178</v>
      </c>
      <c r="E59" s="22" t="s">
        <v>179</v>
      </c>
      <c r="F59" s="23" t="n">
        <v>5</v>
      </c>
      <c r="G59" s="23" t="n">
        <v>4.276</v>
      </c>
      <c r="H59" s="20" t="n">
        <v>19.5</v>
      </c>
      <c r="I59" s="22" t="s">
        <v>180</v>
      </c>
      <c r="J59" s="20" t="n">
        <v>31.24</v>
      </c>
      <c r="K59" s="24" t="n">
        <f aca="false">K58+J59</f>
        <v>1697.8</v>
      </c>
      <c r="L59" s="24" t="n">
        <f aca="false">Well_Data!$B$10-K59</f>
        <v>10802.2</v>
      </c>
      <c r="M59" s="24" t="n">
        <f aca="false">Well_Data!$B$10-K59+J59</f>
        <v>10833.44</v>
      </c>
      <c r="N59" s="25" t="n">
        <f aca="false">G59^2/1029.4</f>
        <v>0.0177619739654167</v>
      </c>
      <c r="O59" s="26" t="n">
        <f aca="false">N59*J59</f>
        <v>0.554884066679619</v>
      </c>
      <c r="P59" s="25" t="n">
        <f aca="false">(F59^2-G59^2)/1029.4</f>
        <v>0.00652401787449</v>
      </c>
      <c r="Q59" s="26" t="n">
        <f aca="false">P59*J59</f>
        <v>0.203810318399067</v>
      </c>
    </row>
    <row r="60" customFormat="false" ht="15" hidden="false" customHeight="true" outlineLevel="0" collapsed="false">
      <c r="A60" s="22" t="n">
        <v>59</v>
      </c>
      <c r="B60" s="22" t="n">
        <v>52</v>
      </c>
      <c r="C60" s="22" t="n">
        <v>7</v>
      </c>
      <c r="D60" s="22" t="s">
        <v>178</v>
      </c>
      <c r="E60" s="22" t="s">
        <v>179</v>
      </c>
      <c r="F60" s="23" t="n">
        <v>5</v>
      </c>
      <c r="G60" s="23" t="n">
        <v>4.276</v>
      </c>
      <c r="H60" s="20" t="n">
        <v>19.5</v>
      </c>
      <c r="I60" s="22" t="s">
        <v>180</v>
      </c>
      <c r="J60" s="20" t="n">
        <v>31.27</v>
      </c>
      <c r="K60" s="24" t="n">
        <f aca="false">K59+J60</f>
        <v>1729.07</v>
      </c>
      <c r="L60" s="24" t="n">
        <f aca="false">Well_Data!$B$10-K60</f>
        <v>10770.93</v>
      </c>
      <c r="M60" s="24" t="n">
        <f aca="false">Well_Data!$B$10-K60+J60</f>
        <v>10802.2</v>
      </c>
      <c r="N60" s="25" t="n">
        <f aca="false">G60^2/1029.4</f>
        <v>0.0177619739654167</v>
      </c>
      <c r="O60" s="26" t="n">
        <f aca="false">N60*J60</f>
        <v>0.555416925898582</v>
      </c>
      <c r="P60" s="25" t="n">
        <f aca="false">(F60^2-G60^2)/1029.4</f>
        <v>0.00652401787449</v>
      </c>
      <c r="Q60" s="26" t="n">
        <f aca="false">P60*J60</f>
        <v>0.204006038935302</v>
      </c>
    </row>
    <row r="61" customFormat="false" ht="15" hidden="false" customHeight="true" outlineLevel="0" collapsed="false">
      <c r="A61" s="22" t="n">
        <v>60</v>
      </c>
      <c r="B61" s="22" t="n">
        <v>53</v>
      </c>
      <c r="C61" s="22" t="n">
        <v>7</v>
      </c>
      <c r="D61" s="22" t="s">
        <v>178</v>
      </c>
      <c r="E61" s="22" t="s">
        <v>179</v>
      </c>
      <c r="F61" s="23" t="n">
        <v>5</v>
      </c>
      <c r="G61" s="23" t="n">
        <v>4.276</v>
      </c>
      <c r="H61" s="20" t="n">
        <v>19.5</v>
      </c>
      <c r="I61" s="22" t="s">
        <v>180</v>
      </c>
      <c r="J61" s="20" t="n">
        <v>31.31</v>
      </c>
      <c r="K61" s="24" t="n">
        <f aca="false">K60+J61</f>
        <v>1760.38</v>
      </c>
      <c r="L61" s="24" t="n">
        <f aca="false">Well_Data!$B$10-K61</f>
        <v>10739.62</v>
      </c>
      <c r="M61" s="24" t="n">
        <f aca="false">Well_Data!$B$10-K61+J61</f>
        <v>10770.93</v>
      </c>
      <c r="N61" s="25" t="n">
        <f aca="false">G61^2/1029.4</f>
        <v>0.0177619739654167</v>
      </c>
      <c r="O61" s="26" t="n">
        <f aca="false">N61*J61</f>
        <v>0.556127404857198</v>
      </c>
      <c r="P61" s="25" t="n">
        <f aca="false">(F61^2-G61^2)/1029.4</f>
        <v>0.00652401787449</v>
      </c>
      <c r="Q61" s="26" t="n">
        <f aca="false">P61*J61</f>
        <v>0.204266999650282</v>
      </c>
    </row>
    <row r="62" customFormat="false" ht="15" hidden="false" customHeight="true" outlineLevel="0" collapsed="false">
      <c r="A62" s="22" t="n">
        <v>61</v>
      </c>
      <c r="B62" s="22" t="n">
        <v>54</v>
      </c>
      <c r="C62" s="22" t="n">
        <v>7</v>
      </c>
      <c r="D62" s="22" t="s">
        <v>178</v>
      </c>
      <c r="E62" s="22" t="s">
        <v>179</v>
      </c>
      <c r="F62" s="23" t="n">
        <v>5</v>
      </c>
      <c r="G62" s="23" t="n">
        <v>4.276</v>
      </c>
      <c r="H62" s="20" t="n">
        <v>19.5</v>
      </c>
      <c r="I62" s="22" t="s">
        <v>180</v>
      </c>
      <c r="J62" s="20" t="n">
        <v>31.22</v>
      </c>
      <c r="K62" s="24" t="n">
        <f aca="false">K61+J62</f>
        <v>1791.6</v>
      </c>
      <c r="L62" s="24" t="n">
        <f aca="false">Well_Data!$B$10-K62</f>
        <v>10708.4</v>
      </c>
      <c r="M62" s="24" t="n">
        <f aca="false">Well_Data!$B$10-K62+J62</f>
        <v>10739.62</v>
      </c>
      <c r="N62" s="25" t="n">
        <f aca="false">G62^2/1029.4</f>
        <v>0.0177619739654167</v>
      </c>
      <c r="O62" s="26" t="n">
        <f aca="false">N62*J62</f>
        <v>0.554528827200311</v>
      </c>
      <c r="P62" s="25" t="n">
        <f aca="false">(F62^2-G62^2)/1029.4</f>
        <v>0.00652401787449</v>
      </c>
      <c r="Q62" s="26" t="n">
        <f aca="false">P62*J62</f>
        <v>0.203679838041578</v>
      </c>
    </row>
    <row r="63" customFormat="false" ht="15" hidden="false" customHeight="true" outlineLevel="0" collapsed="false">
      <c r="A63" s="22" t="n">
        <v>62</v>
      </c>
      <c r="B63" s="22" t="n">
        <v>55</v>
      </c>
      <c r="C63" s="22" t="n">
        <v>8</v>
      </c>
      <c r="D63" s="22" t="s">
        <v>178</v>
      </c>
      <c r="E63" s="22" t="s">
        <v>179</v>
      </c>
      <c r="F63" s="23" t="n">
        <v>5</v>
      </c>
      <c r="G63" s="23" t="n">
        <v>4.276</v>
      </c>
      <c r="H63" s="20" t="n">
        <v>19.5</v>
      </c>
      <c r="I63" s="22" t="s">
        <v>180</v>
      </c>
      <c r="J63" s="20" t="n">
        <v>31.11</v>
      </c>
      <c r="K63" s="24" t="n">
        <f aca="false">K62+J63</f>
        <v>1822.71</v>
      </c>
      <c r="L63" s="24" t="n">
        <f aca="false">Well_Data!$B$10-K63</f>
        <v>10677.29</v>
      </c>
      <c r="M63" s="24" t="n">
        <f aca="false">Well_Data!$B$10-K63+J63</f>
        <v>10708.4</v>
      </c>
      <c r="N63" s="25" t="n">
        <f aca="false">G63^2/1029.4</f>
        <v>0.0177619739654167</v>
      </c>
      <c r="O63" s="26" t="n">
        <f aca="false">N63*J63</f>
        <v>0.552575010064115</v>
      </c>
      <c r="P63" s="25" t="n">
        <f aca="false">(F63^2-G63^2)/1029.4</f>
        <v>0.00652401787449</v>
      </c>
      <c r="Q63" s="26" t="n">
        <f aca="false">P63*J63</f>
        <v>0.202962196075384</v>
      </c>
    </row>
    <row r="64" customFormat="false" ht="15" hidden="false" customHeight="true" outlineLevel="0" collapsed="false">
      <c r="A64" s="22" t="n">
        <v>63</v>
      </c>
      <c r="B64" s="22" t="n">
        <v>56</v>
      </c>
      <c r="C64" s="22" t="n">
        <v>8</v>
      </c>
      <c r="D64" s="22" t="s">
        <v>178</v>
      </c>
      <c r="E64" s="22" t="s">
        <v>179</v>
      </c>
      <c r="F64" s="23" t="n">
        <v>5</v>
      </c>
      <c r="G64" s="23" t="n">
        <v>4.276</v>
      </c>
      <c r="H64" s="20" t="n">
        <v>19.5</v>
      </c>
      <c r="I64" s="22" t="s">
        <v>180</v>
      </c>
      <c r="J64" s="20" t="n">
        <v>30.98</v>
      </c>
      <c r="K64" s="24" t="n">
        <f aca="false">K63+J64</f>
        <v>1853.69</v>
      </c>
      <c r="L64" s="24" t="n">
        <f aca="false">Well_Data!$B$10-K64</f>
        <v>10646.31</v>
      </c>
      <c r="M64" s="24" t="n">
        <f aca="false">Well_Data!$B$10-K64+J64</f>
        <v>10677.29</v>
      </c>
      <c r="N64" s="25" t="n">
        <f aca="false">G64^2/1029.4</f>
        <v>0.0177619739654167</v>
      </c>
      <c r="O64" s="26" t="n">
        <f aca="false">N64*J64</f>
        <v>0.550265953448611</v>
      </c>
      <c r="P64" s="25" t="n">
        <f aca="false">(F64^2-G64^2)/1029.4</f>
        <v>0.00652401787449</v>
      </c>
      <c r="Q64" s="26" t="n">
        <f aca="false">P64*J64</f>
        <v>0.2021140737517</v>
      </c>
    </row>
    <row r="65" customFormat="false" ht="15" hidden="false" customHeight="true" outlineLevel="0" collapsed="false">
      <c r="A65" s="22" t="n">
        <v>64</v>
      </c>
      <c r="B65" s="22" t="n">
        <v>57</v>
      </c>
      <c r="C65" s="22" t="n">
        <v>8</v>
      </c>
      <c r="D65" s="22" t="s">
        <v>178</v>
      </c>
      <c r="E65" s="22" t="s">
        <v>179</v>
      </c>
      <c r="F65" s="23" t="n">
        <v>5</v>
      </c>
      <c r="G65" s="23" t="n">
        <v>4.276</v>
      </c>
      <c r="H65" s="20" t="n">
        <v>19.5</v>
      </c>
      <c r="I65" s="22" t="s">
        <v>180</v>
      </c>
      <c r="J65" s="20" t="n">
        <v>31.6</v>
      </c>
      <c r="K65" s="24" t="n">
        <f aca="false">K64+J65</f>
        <v>1885.29</v>
      </c>
      <c r="L65" s="24" t="n">
        <f aca="false">Well_Data!$B$10-K65</f>
        <v>10614.71</v>
      </c>
      <c r="M65" s="24" t="n">
        <f aca="false">Well_Data!$B$10-K65+J65</f>
        <v>10646.31</v>
      </c>
      <c r="N65" s="25" t="n">
        <f aca="false">G65^2/1029.4</f>
        <v>0.0177619739654167</v>
      </c>
      <c r="O65" s="26" t="n">
        <f aca="false">N65*J65</f>
        <v>0.561278377307169</v>
      </c>
      <c r="P65" s="25" t="n">
        <f aca="false">(F65^2-G65^2)/1029.4</f>
        <v>0.00652401787449</v>
      </c>
      <c r="Q65" s="26" t="n">
        <f aca="false">P65*J65</f>
        <v>0.206158964833884</v>
      </c>
    </row>
    <row r="66" customFormat="false" ht="15" hidden="false" customHeight="true" outlineLevel="0" collapsed="false">
      <c r="A66" s="22" t="n">
        <v>65</v>
      </c>
      <c r="B66" s="22" t="n">
        <v>58</v>
      </c>
      <c r="C66" s="22" t="n">
        <v>9</v>
      </c>
      <c r="D66" s="22" t="s">
        <v>178</v>
      </c>
      <c r="E66" s="22" t="s">
        <v>179</v>
      </c>
      <c r="F66" s="23" t="n">
        <v>5</v>
      </c>
      <c r="G66" s="23" t="n">
        <v>4.276</v>
      </c>
      <c r="H66" s="20" t="n">
        <v>19.5</v>
      </c>
      <c r="I66" s="22" t="s">
        <v>180</v>
      </c>
      <c r="J66" s="20" t="n">
        <v>31.08</v>
      </c>
      <c r="K66" s="24" t="n">
        <f aca="false">K65+J66</f>
        <v>1916.37</v>
      </c>
      <c r="L66" s="24" t="n">
        <f aca="false">Well_Data!$B$10-K66</f>
        <v>10583.63</v>
      </c>
      <c r="M66" s="24" t="n">
        <f aca="false">Well_Data!$B$10-K66+J66</f>
        <v>10614.71</v>
      </c>
      <c r="N66" s="25" t="n">
        <f aca="false">G66^2/1029.4</f>
        <v>0.0177619739654167</v>
      </c>
      <c r="O66" s="26" t="n">
        <f aca="false">N66*J66</f>
        <v>0.552042150845152</v>
      </c>
      <c r="P66" s="25" t="n">
        <f aca="false">(F66^2-G66^2)/1029.4</f>
        <v>0.00652401787449</v>
      </c>
      <c r="Q66" s="26" t="n">
        <f aca="false">P66*J66</f>
        <v>0.202766475539149</v>
      </c>
    </row>
    <row r="67" customFormat="false" ht="15" hidden="false" customHeight="true" outlineLevel="0" collapsed="false">
      <c r="A67" s="22" t="n">
        <v>66</v>
      </c>
      <c r="B67" s="22" t="n">
        <v>59</v>
      </c>
      <c r="C67" s="22" t="n">
        <v>9</v>
      </c>
      <c r="D67" s="22" t="s">
        <v>178</v>
      </c>
      <c r="E67" s="22" t="s">
        <v>179</v>
      </c>
      <c r="F67" s="23" t="n">
        <v>5</v>
      </c>
      <c r="G67" s="23" t="n">
        <v>4.276</v>
      </c>
      <c r="H67" s="20" t="n">
        <v>19.5</v>
      </c>
      <c r="I67" s="22" t="s">
        <v>180</v>
      </c>
      <c r="J67" s="20" t="n">
        <v>31</v>
      </c>
      <c r="K67" s="24" t="n">
        <f aca="false">K66+J67</f>
        <v>1947.37</v>
      </c>
      <c r="L67" s="24" t="n">
        <f aca="false">Well_Data!$B$10-K67</f>
        <v>10552.63</v>
      </c>
      <c r="M67" s="24" t="n">
        <f aca="false">Well_Data!$B$10-K67+J67</f>
        <v>10583.63</v>
      </c>
      <c r="N67" s="25" t="n">
        <f aca="false">G67^2/1029.4</f>
        <v>0.0177619739654167</v>
      </c>
      <c r="O67" s="26" t="n">
        <f aca="false">N67*J67</f>
        <v>0.550621192927919</v>
      </c>
      <c r="P67" s="25" t="n">
        <f aca="false">(F67^2-G67^2)/1029.4</f>
        <v>0.00652401787449</v>
      </c>
      <c r="Q67" s="26" t="n">
        <f aca="false">P67*J67</f>
        <v>0.20224455410919</v>
      </c>
    </row>
    <row r="68" customFormat="false" ht="15" hidden="false" customHeight="true" outlineLevel="0" collapsed="false">
      <c r="A68" s="22" t="n">
        <v>67</v>
      </c>
      <c r="B68" s="22" t="n">
        <v>60</v>
      </c>
      <c r="C68" s="22" t="n">
        <v>9</v>
      </c>
      <c r="D68" s="22" t="s">
        <v>178</v>
      </c>
      <c r="E68" s="22" t="s">
        <v>179</v>
      </c>
      <c r="F68" s="23" t="n">
        <v>5</v>
      </c>
      <c r="G68" s="23" t="n">
        <v>4.276</v>
      </c>
      <c r="H68" s="20" t="n">
        <v>19.5</v>
      </c>
      <c r="I68" s="22" t="s">
        <v>180</v>
      </c>
      <c r="J68" s="20" t="n">
        <v>31.58</v>
      </c>
      <c r="K68" s="24" t="n">
        <f aca="false">K67+J68</f>
        <v>1978.95</v>
      </c>
      <c r="L68" s="24" t="n">
        <f aca="false">Well_Data!$B$10-K68</f>
        <v>10521.05</v>
      </c>
      <c r="M68" s="24" t="n">
        <f aca="false">Well_Data!$B$10-K68+J68</f>
        <v>10552.63</v>
      </c>
      <c r="N68" s="25" t="n">
        <f aca="false">G68^2/1029.4</f>
        <v>0.0177619739654167</v>
      </c>
      <c r="O68" s="26" t="n">
        <f aca="false">N68*J68</f>
        <v>0.560923137827861</v>
      </c>
      <c r="P68" s="25" t="n">
        <f aca="false">(F68^2-G68^2)/1029.4</f>
        <v>0.00652401787449</v>
      </c>
      <c r="Q68" s="26" t="n">
        <f aca="false">P68*J68</f>
        <v>0.206028484476394</v>
      </c>
    </row>
    <row r="69" customFormat="false" ht="15" hidden="false" customHeight="true" outlineLevel="0" collapsed="false">
      <c r="A69" s="22" t="n">
        <v>68</v>
      </c>
      <c r="B69" s="22" t="n">
        <v>61</v>
      </c>
      <c r="C69" s="22" t="n">
        <v>10</v>
      </c>
      <c r="D69" s="22" t="s">
        <v>178</v>
      </c>
      <c r="E69" s="22" t="s">
        <v>179</v>
      </c>
      <c r="F69" s="23" t="n">
        <v>5</v>
      </c>
      <c r="G69" s="23" t="n">
        <v>4.276</v>
      </c>
      <c r="H69" s="20" t="n">
        <v>19.5</v>
      </c>
      <c r="I69" s="22" t="s">
        <v>180</v>
      </c>
      <c r="J69" s="20" t="n">
        <v>31.21</v>
      </c>
      <c r="K69" s="24" t="n">
        <f aca="false">K68+J69</f>
        <v>2010.16</v>
      </c>
      <c r="L69" s="24" t="n">
        <f aca="false">Well_Data!$B$10-K69</f>
        <v>10489.84</v>
      </c>
      <c r="M69" s="24" t="n">
        <f aca="false">Well_Data!$B$10-K69+J69</f>
        <v>10521.05</v>
      </c>
      <c r="N69" s="25" t="n">
        <f aca="false">G69^2/1029.4</f>
        <v>0.0177619739654167</v>
      </c>
      <c r="O69" s="26" t="n">
        <f aca="false">N69*J69</f>
        <v>0.554351207460657</v>
      </c>
      <c r="P69" s="25" t="n">
        <f aca="false">(F69^2-G69^2)/1029.4</f>
        <v>0.00652401787449</v>
      </c>
      <c r="Q69" s="26" t="n">
        <f aca="false">P69*J69</f>
        <v>0.203614597862833</v>
      </c>
    </row>
    <row r="70" customFormat="false" ht="15" hidden="false" customHeight="true" outlineLevel="0" collapsed="false">
      <c r="A70" s="22" t="n">
        <v>69</v>
      </c>
      <c r="B70" s="22" t="n">
        <v>62</v>
      </c>
      <c r="C70" s="22" t="n">
        <v>10</v>
      </c>
      <c r="D70" s="22" t="s">
        <v>178</v>
      </c>
      <c r="E70" s="22" t="s">
        <v>179</v>
      </c>
      <c r="F70" s="23" t="n">
        <v>5</v>
      </c>
      <c r="G70" s="23" t="n">
        <v>4.276</v>
      </c>
      <c r="H70" s="20" t="n">
        <v>19.5</v>
      </c>
      <c r="I70" s="22" t="s">
        <v>180</v>
      </c>
      <c r="J70" s="20" t="n">
        <v>31.34</v>
      </c>
      <c r="K70" s="24" t="n">
        <f aca="false">K69+J70</f>
        <v>2041.5</v>
      </c>
      <c r="L70" s="24" t="n">
        <f aca="false">Well_Data!$B$10-K70</f>
        <v>10458.5</v>
      </c>
      <c r="M70" s="24" t="n">
        <f aca="false">Well_Data!$B$10-K70+J70</f>
        <v>10489.84</v>
      </c>
      <c r="N70" s="25" t="n">
        <f aca="false">G70^2/1029.4</f>
        <v>0.0177619739654167</v>
      </c>
      <c r="O70" s="26" t="n">
        <f aca="false">N70*J70</f>
        <v>0.556660264076161</v>
      </c>
      <c r="P70" s="25" t="n">
        <f aca="false">(F70^2-G70^2)/1029.4</f>
        <v>0.00652401787449</v>
      </c>
      <c r="Q70" s="26" t="n">
        <f aca="false">P70*J70</f>
        <v>0.204462720186516</v>
      </c>
    </row>
    <row r="71" customFormat="false" ht="15" hidden="false" customHeight="true" outlineLevel="0" collapsed="false">
      <c r="A71" s="22" t="n">
        <v>70</v>
      </c>
      <c r="B71" s="22" t="n">
        <v>63</v>
      </c>
      <c r="C71" s="22" t="n">
        <v>10</v>
      </c>
      <c r="D71" s="22" t="s">
        <v>178</v>
      </c>
      <c r="E71" s="22" t="s">
        <v>179</v>
      </c>
      <c r="F71" s="23" t="n">
        <v>5</v>
      </c>
      <c r="G71" s="23" t="n">
        <v>4.276</v>
      </c>
      <c r="H71" s="20" t="n">
        <v>19.5</v>
      </c>
      <c r="I71" s="22" t="s">
        <v>180</v>
      </c>
      <c r="J71" s="20" t="n">
        <v>31.23</v>
      </c>
      <c r="K71" s="24" t="n">
        <f aca="false">K70+J71</f>
        <v>2072.73</v>
      </c>
      <c r="L71" s="24" t="n">
        <f aca="false">Well_Data!$B$10-K71</f>
        <v>10427.27</v>
      </c>
      <c r="M71" s="24" t="n">
        <f aca="false">Well_Data!$B$10-K71+J71</f>
        <v>10458.5</v>
      </c>
      <c r="N71" s="25" t="n">
        <f aca="false">G71^2/1029.4</f>
        <v>0.0177619739654167</v>
      </c>
      <c r="O71" s="26" t="n">
        <f aca="false">N71*J71</f>
        <v>0.554706446939965</v>
      </c>
      <c r="P71" s="25" t="n">
        <f aca="false">(F71^2-G71^2)/1029.4</f>
        <v>0.00652401787449</v>
      </c>
      <c r="Q71" s="26" t="n">
        <f aca="false">P71*J71</f>
        <v>0.203745078220323</v>
      </c>
    </row>
    <row r="72" customFormat="false" ht="15" hidden="false" customHeight="true" outlineLevel="0" collapsed="false">
      <c r="A72" s="22" t="n">
        <v>71</v>
      </c>
      <c r="B72" s="22" t="n">
        <v>64</v>
      </c>
      <c r="C72" s="22" t="n">
        <v>11</v>
      </c>
      <c r="D72" s="22" t="s">
        <v>178</v>
      </c>
      <c r="E72" s="22" t="s">
        <v>179</v>
      </c>
      <c r="F72" s="23" t="n">
        <v>5</v>
      </c>
      <c r="G72" s="23" t="n">
        <v>4.276</v>
      </c>
      <c r="H72" s="20" t="n">
        <v>19.5</v>
      </c>
      <c r="I72" s="22" t="s">
        <v>180</v>
      </c>
      <c r="J72" s="20" t="n">
        <v>31.64</v>
      </c>
      <c r="K72" s="24" t="n">
        <f aca="false">K71+J72</f>
        <v>2104.37</v>
      </c>
      <c r="L72" s="24" t="n">
        <f aca="false">Well_Data!$B$10-K72</f>
        <v>10395.63</v>
      </c>
      <c r="M72" s="24" t="n">
        <f aca="false">Well_Data!$B$10-K72+J72</f>
        <v>10427.27</v>
      </c>
      <c r="N72" s="25" t="n">
        <f aca="false">G72^2/1029.4</f>
        <v>0.0177619739654167</v>
      </c>
      <c r="O72" s="26" t="n">
        <f aca="false">N72*J72</f>
        <v>0.561988856265786</v>
      </c>
      <c r="P72" s="25" t="n">
        <f aca="false">(F72^2-G72^2)/1029.4</f>
        <v>0.00652401787449</v>
      </c>
      <c r="Q72" s="26" t="n">
        <f aca="false">P72*J72</f>
        <v>0.206419925548863</v>
      </c>
    </row>
    <row r="73" customFormat="false" ht="15" hidden="false" customHeight="true" outlineLevel="0" collapsed="false">
      <c r="A73" s="22" t="n">
        <v>72</v>
      </c>
      <c r="B73" s="22" t="n">
        <v>65</v>
      </c>
      <c r="C73" s="22" t="n">
        <v>11</v>
      </c>
      <c r="D73" s="22" t="s">
        <v>178</v>
      </c>
      <c r="E73" s="22" t="s">
        <v>179</v>
      </c>
      <c r="F73" s="23" t="n">
        <v>5</v>
      </c>
      <c r="G73" s="23" t="n">
        <v>4.276</v>
      </c>
      <c r="H73" s="20" t="n">
        <v>19.5</v>
      </c>
      <c r="I73" s="22" t="s">
        <v>180</v>
      </c>
      <c r="J73" s="20" t="n">
        <v>31.14</v>
      </c>
      <c r="K73" s="24" t="n">
        <f aca="false">K72+J73</f>
        <v>2135.51</v>
      </c>
      <c r="L73" s="24" t="n">
        <f aca="false">Well_Data!$B$10-K73</f>
        <v>10364.49</v>
      </c>
      <c r="M73" s="24" t="n">
        <f aca="false">Well_Data!$B$10-K73+J73</f>
        <v>10395.63</v>
      </c>
      <c r="N73" s="25" t="n">
        <f aca="false">G73^2/1029.4</f>
        <v>0.0177619739654167</v>
      </c>
      <c r="O73" s="26" t="n">
        <f aca="false">N73*J73</f>
        <v>0.553107869283077</v>
      </c>
      <c r="P73" s="25" t="n">
        <f aca="false">(F73^2-G73^2)/1029.4</f>
        <v>0.00652401787449</v>
      </c>
      <c r="Q73" s="26" t="n">
        <f aca="false">P73*J73</f>
        <v>0.203157916611618</v>
      </c>
    </row>
    <row r="74" customFormat="false" ht="15" hidden="false" customHeight="true" outlineLevel="0" collapsed="false">
      <c r="A74" s="22" t="n">
        <v>73</v>
      </c>
      <c r="B74" s="22" t="n">
        <v>66</v>
      </c>
      <c r="C74" s="22" t="n">
        <v>11</v>
      </c>
      <c r="D74" s="22" t="s">
        <v>178</v>
      </c>
      <c r="E74" s="22" t="s">
        <v>179</v>
      </c>
      <c r="F74" s="23" t="n">
        <v>5</v>
      </c>
      <c r="G74" s="23" t="n">
        <v>4.276</v>
      </c>
      <c r="H74" s="20" t="n">
        <v>19.5</v>
      </c>
      <c r="I74" s="22" t="s">
        <v>180</v>
      </c>
      <c r="J74" s="20" t="n">
        <v>30.84</v>
      </c>
      <c r="K74" s="24" t="n">
        <f aca="false">K73+J74</f>
        <v>2166.35</v>
      </c>
      <c r="L74" s="24" t="n">
        <f aca="false">Well_Data!$B$10-K74</f>
        <v>10333.65</v>
      </c>
      <c r="M74" s="24" t="n">
        <f aca="false">Well_Data!$B$10-K74+J74</f>
        <v>10364.49</v>
      </c>
      <c r="N74" s="25" t="n">
        <f aca="false">G74^2/1029.4</f>
        <v>0.0177619739654167</v>
      </c>
      <c r="O74" s="26" t="n">
        <f aca="false">N74*J74</f>
        <v>0.547779277093452</v>
      </c>
      <c r="P74" s="25" t="n">
        <f aca="false">(F74^2-G74^2)/1029.4</f>
        <v>0.00652401787449</v>
      </c>
      <c r="Q74" s="26" t="n">
        <f aca="false">P74*J74</f>
        <v>0.201200711249271</v>
      </c>
    </row>
    <row r="75" customFormat="false" ht="15" hidden="false" customHeight="true" outlineLevel="0" collapsed="false">
      <c r="A75" s="22" t="n">
        <v>74</v>
      </c>
      <c r="B75" s="22" t="n">
        <v>67</v>
      </c>
      <c r="C75" s="22" t="n">
        <v>12</v>
      </c>
      <c r="D75" s="22" t="s">
        <v>178</v>
      </c>
      <c r="E75" s="22" t="s">
        <v>179</v>
      </c>
      <c r="F75" s="23" t="n">
        <v>5</v>
      </c>
      <c r="G75" s="23" t="n">
        <v>4.276</v>
      </c>
      <c r="H75" s="20" t="n">
        <v>19.5</v>
      </c>
      <c r="I75" s="22" t="s">
        <v>180</v>
      </c>
      <c r="J75" s="20" t="n">
        <v>31.38</v>
      </c>
      <c r="K75" s="24" t="n">
        <f aca="false">K74+J75</f>
        <v>2197.73</v>
      </c>
      <c r="L75" s="24" t="n">
        <f aca="false">Well_Data!$B$10-K75</f>
        <v>10302.27</v>
      </c>
      <c r="M75" s="24" t="n">
        <f aca="false">Well_Data!$B$10-K75+J75</f>
        <v>10333.65</v>
      </c>
      <c r="N75" s="25" t="n">
        <f aca="false">G75^2/1029.4</f>
        <v>0.0177619739654167</v>
      </c>
      <c r="O75" s="26" t="n">
        <f aca="false">N75*J75</f>
        <v>0.557370743034777</v>
      </c>
      <c r="P75" s="25" t="n">
        <f aca="false">(F75^2-G75^2)/1029.4</f>
        <v>0.00652401787449</v>
      </c>
      <c r="Q75" s="26" t="n">
        <f aca="false">P75*J75</f>
        <v>0.204723680901496</v>
      </c>
    </row>
    <row r="76" customFormat="false" ht="15" hidden="false" customHeight="true" outlineLevel="0" collapsed="false">
      <c r="A76" s="22" t="n">
        <v>75</v>
      </c>
      <c r="B76" s="22" t="n">
        <v>68</v>
      </c>
      <c r="C76" s="22" t="n">
        <v>12</v>
      </c>
      <c r="D76" s="22" t="s">
        <v>178</v>
      </c>
      <c r="E76" s="22" t="s">
        <v>179</v>
      </c>
      <c r="F76" s="23" t="n">
        <v>5</v>
      </c>
      <c r="G76" s="23" t="n">
        <v>4.276</v>
      </c>
      <c r="H76" s="20" t="n">
        <v>19.5</v>
      </c>
      <c r="I76" s="22" t="s">
        <v>180</v>
      </c>
      <c r="J76" s="20" t="n">
        <v>31.11</v>
      </c>
      <c r="K76" s="24" t="n">
        <f aca="false">K75+J76</f>
        <v>2228.84</v>
      </c>
      <c r="L76" s="24" t="n">
        <f aca="false">Well_Data!$B$10-K76</f>
        <v>10271.16</v>
      </c>
      <c r="M76" s="24" t="n">
        <f aca="false">Well_Data!$B$10-K76+J76</f>
        <v>10302.27</v>
      </c>
      <c r="N76" s="25" t="n">
        <f aca="false">G76^2/1029.4</f>
        <v>0.0177619739654167</v>
      </c>
      <c r="O76" s="26" t="n">
        <f aca="false">N76*J76</f>
        <v>0.552575010064115</v>
      </c>
      <c r="P76" s="25" t="n">
        <f aca="false">(F76^2-G76^2)/1029.4</f>
        <v>0.00652401787449</v>
      </c>
      <c r="Q76" s="26" t="n">
        <f aca="false">P76*J76</f>
        <v>0.202962196075384</v>
      </c>
    </row>
    <row r="77" customFormat="false" ht="15" hidden="false" customHeight="true" outlineLevel="0" collapsed="false">
      <c r="A77" s="22" t="n">
        <v>76</v>
      </c>
      <c r="B77" s="22" t="n">
        <v>69</v>
      </c>
      <c r="C77" s="22" t="n">
        <v>12</v>
      </c>
      <c r="D77" s="22" t="s">
        <v>178</v>
      </c>
      <c r="E77" s="22" t="s">
        <v>179</v>
      </c>
      <c r="F77" s="23" t="n">
        <v>5</v>
      </c>
      <c r="G77" s="23" t="n">
        <v>4.276</v>
      </c>
      <c r="H77" s="20" t="n">
        <v>19.5</v>
      </c>
      <c r="I77" s="22" t="s">
        <v>180</v>
      </c>
      <c r="J77" s="20" t="n">
        <v>31.14</v>
      </c>
      <c r="K77" s="24" t="n">
        <f aca="false">K76+J77</f>
        <v>2259.98</v>
      </c>
      <c r="L77" s="24" t="n">
        <f aca="false">Well_Data!$B$10-K77</f>
        <v>10240.02</v>
      </c>
      <c r="M77" s="24" t="n">
        <f aca="false">Well_Data!$B$10-K77+J77</f>
        <v>10271.16</v>
      </c>
      <c r="N77" s="25" t="n">
        <f aca="false">G77^2/1029.4</f>
        <v>0.0177619739654167</v>
      </c>
      <c r="O77" s="26" t="n">
        <f aca="false">N77*J77</f>
        <v>0.553107869283077</v>
      </c>
      <c r="P77" s="25" t="n">
        <f aca="false">(F77^2-G77^2)/1029.4</f>
        <v>0.00652401787449</v>
      </c>
      <c r="Q77" s="26" t="n">
        <f aca="false">P77*J77</f>
        <v>0.203157916611618</v>
      </c>
    </row>
    <row r="78" customFormat="false" ht="15" hidden="false" customHeight="true" outlineLevel="0" collapsed="false">
      <c r="A78" s="22" t="n">
        <v>77</v>
      </c>
      <c r="B78" s="22" t="n">
        <v>70</v>
      </c>
      <c r="C78" s="22" t="n">
        <v>13</v>
      </c>
      <c r="D78" s="22" t="s">
        <v>178</v>
      </c>
      <c r="E78" s="22" t="s">
        <v>179</v>
      </c>
      <c r="F78" s="23" t="n">
        <v>5</v>
      </c>
      <c r="G78" s="23" t="n">
        <v>4.276</v>
      </c>
      <c r="H78" s="20" t="n">
        <v>19.5</v>
      </c>
      <c r="I78" s="22" t="s">
        <v>180</v>
      </c>
      <c r="J78" s="20" t="n">
        <v>31.62</v>
      </c>
      <c r="K78" s="24" t="n">
        <f aca="false">K77+J78</f>
        <v>2291.6</v>
      </c>
      <c r="L78" s="24" t="n">
        <f aca="false">Well_Data!$B$10-K78</f>
        <v>10208.4</v>
      </c>
      <c r="M78" s="24" t="n">
        <f aca="false">Well_Data!$B$10-K78+J78</f>
        <v>10240.02</v>
      </c>
      <c r="N78" s="25" t="n">
        <f aca="false">G78^2/1029.4</f>
        <v>0.0177619739654167</v>
      </c>
      <c r="O78" s="26" t="n">
        <f aca="false">N78*J78</f>
        <v>0.561633616786478</v>
      </c>
      <c r="P78" s="25" t="n">
        <f aca="false">(F78^2-G78^2)/1029.4</f>
        <v>0.00652401787449</v>
      </c>
      <c r="Q78" s="26" t="n">
        <f aca="false">P78*J78</f>
        <v>0.206289445191374</v>
      </c>
    </row>
    <row r="79" customFormat="false" ht="15" hidden="false" customHeight="true" outlineLevel="0" collapsed="false">
      <c r="A79" s="22" t="n">
        <v>78</v>
      </c>
      <c r="B79" s="22" t="n">
        <v>71</v>
      </c>
      <c r="C79" s="22" t="n">
        <v>13</v>
      </c>
      <c r="D79" s="22" t="s">
        <v>178</v>
      </c>
      <c r="E79" s="22" t="s">
        <v>179</v>
      </c>
      <c r="F79" s="23" t="n">
        <v>5</v>
      </c>
      <c r="G79" s="23" t="n">
        <v>4.276</v>
      </c>
      <c r="H79" s="20" t="n">
        <v>19.5</v>
      </c>
      <c r="I79" s="22" t="s">
        <v>180</v>
      </c>
      <c r="J79" s="20" t="n">
        <v>31.53</v>
      </c>
      <c r="K79" s="24" t="n">
        <f aca="false">K78+J79</f>
        <v>2323.13</v>
      </c>
      <c r="L79" s="24" t="n">
        <f aca="false">Well_Data!$B$10-K79</f>
        <v>10176.87</v>
      </c>
      <c r="M79" s="24" t="n">
        <f aca="false">Well_Data!$B$10-K79+J79</f>
        <v>10208.4</v>
      </c>
      <c r="N79" s="25" t="n">
        <f aca="false">G79^2/1029.4</f>
        <v>0.0177619739654167</v>
      </c>
      <c r="O79" s="26" t="n">
        <f aca="false">N79*J79</f>
        <v>0.56003503912959</v>
      </c>
      <c r="P79" s="25" t="n">
        <f aca="false">(F79^2-G79^2)/1029.4</f>
        <v>0.00652401787449</v>
      </c>
      <c r="Q79" s="26" t="n">
        <f aca="false">P79*J79</f>
        <v>0.20570228358267</v>
      </c>
    </row>
    <row r="80" customFormat="false" ht="15" hidden="false" customHeight="true" outlineLevel="0" collapsed="false">
      <c r="A80" s="22" t="n">
        <v>79</v>
      </c>
      <c r="B80" s="22" t="n">
        <v>72</v>
      </c>
      <c r="C80" s="22" t="n">
        <v>13</v>
      </c>
      <c r="D80" s="22" t="s">
        <v>178</v>
      </c>
      <c r="E80" s="22" t="s">
        <v>179</v>
      </c>
      <c r="F80" s="23" t="n">
        <v>5</v>
      </c>
      <c r="G80" s="23" t="n">
        <v>4.276</v>
      </c>
      <c r="H80" s="20" t="n">
        <v>19.5</v>
      </c>
      <c r="I80" s="22" t="s">
        <v>180</v>
      </c>
      <c r="J80" s="20" t="n">
        <v>31.32</v>
      </c>
      <c r="K80" s="24" t="n">
        <f aca="false">K79+J80</f>
        <v>2354.45</v>
      </c>
      <c r="L80" s="24" t="n">
        <f aca="false">Well_Data!$B$10-K80</f>
        <v>10145.55</v>
      </c>
      <c r="M80" s="24" t="n">
        <f aca="false">Well_Data!$B$10-K80+J80</f>
        <v>10176.87</v>
      </c>
      <c r="N80" s="25" t="n">
        <f aca="false">G80^2/1029.4</f>
        <v>0.0177619739654167</v>
      </c>
      <c r="O80" s="26" t="n">
        <f aca="false">N80*J80</f>
        <v>0.556305024596852</v>
      </c>
      <c r="P80" s="25" t="n">
        <f aca="false">(F80^2-G80^2)/1029.4</f>
        <v>0.00652401787449</v>
      </c>
      <c r="Q80" s="26" t="n">
        <f aca="false">P80*J80</f>
        <v>0.204332239829027</v>
      </c>
    </row>
    <row r="81" customFormat="false" ht="15" hidden="false" customHeight="true" outlineLevel="0" collapsed="false">
      <c r="A81" s="22" t="n">
        <v>80</v>
      </c>
      <c r="B81" s="22" t="n">
        <v>73</v>
      </c>
      <c r="C81" s="22" t="n">
        <v>14</v>
      </c>
      <c r="D81" s="22" t="s">
        <v>178</v>
      </c>
      <c r="E81" s="22" t="s">
        <v>179</v>
      </c>
      <c r="F81" s="23" t="n">
        <v>5</v>
      </c>
      <c r="G81" s="23" t="n">
        <v>4.276</v>
      </c>
      <c r="H81" s="20" t="n">
        <v>19.5</v>
      </c>
      <c r="I81" s="22" t="s">
        <v>180</v>
      </c>
      <c r="J81" s="20" t="n">
        <v>31</v>
      </c>
      <c r="K81" s="24" t="n">
        <f aca="false">K80+J81</f>
        <v>2385.45</v>
      </c>
      <c r="L81" s="24" t="n">
        <f aca="false">Well_Data!$B$10-K81</f>
        <v>10114.55</v>
      </c>
      <c r="M81" s="24" t="n">
        <f aca="false">Well_Data!$B$10-K81+J81</f>
        <v>10145.55</v>
      </c>
      <c r="N81" s="25" t="n">
        <f aca="false">G81^2/1029.4</f>
        <v>0.0177619739654167</v>
      </c>
      <c r="O81" s="26" t="n">
        <f aca="false">N81*J81</f>
        <v>0.550621192927919</v>
      </c>
      <c r="P81" s="25" t="n">
        <f aca="false">(F81^2-G81^2)/1029.4</f>
        <v>0.00652401787449</v>
      </c>
      <c r="Q81" s="26" t="n">
        <f aca="false">P81*J81</f>
        <v>0.20224455410919</v>
      </c>
    </row>
    <row r="82" customFormat="false" ht="15" hidden="false" customHeight="true" outlineLevel="0" collapsed="false">
      <c r="A82" s="22" t="n">
        <v>81</v>
      </c>
      <c r="B82" s="22" t="n">
        <v>74</v>
      </c>
      <c r="C82" s="22" t="n">
        <v>14</v>
      </c>
      <c r="D82" s="22" t="s">
        <v>178</v>
      </c>
      <c r="E82" s="22" t="s">
        <v>179</v>
      </c>
      <c r="F82" s="23" t="n">
        <v>5</v>
      </c>
      <c r="G82" s="23" t="n">
        <v>4.276</v>
      </c>
      <c r="H82" s="20" t="n">
        <v>19.5</v>
      </c>
      <c r="I82" s="22" t="s">
        <v>180</v>
      </c>
      <c r="J82" s="20" t="n">
        <v>31.76</v>
      </c>
      <c r="K82" s="24" t="n">
        <f aca="false">K81+J82</f>
        <v>2417.21</v>
      </c>
      <c r="L82" s="24" t="n">
        <f aca="false">Well_Data!$B$10-K82</f>
        <v>10082.79</v>
      </c>
      <c r="M82" s="24" t="n">
        <f aca="false">Well_Data!$B$10-K82+J82</f>
        <v>10114.55</v>
      </c>
      <c r="N82" s="25" t="n">
        <f aca="false">G82^2/1029.4</f>
        <v>0.0177619739654167</v>
      </c>
      <c r="O82" s="26" t="n">
        <f aca="false">N82*J82</f>
        <v>0.564120293141636</v>
      </c>
      <c r="P82" s="25" t="n">
        <f aca="false">(F82^2-G82^2)/1029.4</f>
        <v>0.00652401787449</v>
      </c>
      <c r="Q82" s="26" t="n">
        <f aca="false">P82*J82</f>
        <v>0.207202807693802</v>
      </c>
    </row>
    <row r="83" customFormat="false" ht="15" hidden="false" customHeight="true" outlineLevel="0" collapsed="false">
      <c r="A83" s="22" t="n">
        <v>82</v>
      </c>
      <c r="B83" s="22" t="n">
        <v>75</v>
      </c>
      <c r="C83" s="22" t="n">
        <v>14</v>
      </c>
      <c r="D83" s="22" t="s">
        <v>178</v>
      </c>
      <c r="E83" s="22" t="s">
        <v>179</v>
      </c>
      <c r="F83" s="23" t="n">
        <v>5</v>
      </c>
      <c r="G83" s="23" t="n">
        <v>4.276</v>
      </c>
      <c r="H83" s="20" t="n">
        <v>19.5</v>
      </c>
      <c r="I83" s="22" t="s">
        <v>180</v>
      </c>
      <c r="J83" s="20" t="n">
        <v>30.75</v>
      </c>
      <c r="K83" s="24" t="n">
        <f aca="false">K82+J83</f>
        <v>2447.96</v>
      </c>
      <c r="L83" s="24" t="n">
        <f aca="false">Well_Data!$B$10-K83</f>
        <v>10052.04</v>
      </c>
      <c r="M83" s="24" t="n">
        <f aca="false">Well_Data!$B$10-K83+J83</f>
        <v>10082.79</v>
      </c>
      <c r="N83" s="25" t="n">
        <f aca="false">G83^2/1029.4</f>
        <v>0.0177619739654167</v>
      </c>
      <c r="O83" s="26" t="n">
        <f aca="false">N83*J83</f>
        <v>0.546180699436565</v>
      </c>
      <c r="P83" s="25" t="n">
        <f aca="false">(F83^2-G83^2)/1029.4</f>
        <v>0.00652401787449</v>
      </c>
      <c r="Q83" s="26" t="n">
        <f aca="false">P83*J83</f>
        <v>0.200613549640567</v>
      </c>
    </row>
    <row r="84" customFormat="false" ht="15" hidden="false" customHeight="true" outlineLevel="0" collapsed="false">
      <c r="A84" s="22" t="n">
        <v>83</v>
      </c>
      <c r="B84" s="22" t="n">
        <v>76</v>
      </c>
      <c r="C84" s="22" t="n">
        <v>15</v>
      </c>
      <c r="D84" s="22" t="s">
        <v>178</v>
      </c>
      <c r="E84" s="22" t="s">
        <v>179</v>
      </c>
      <c r="F84" s="23" t="n">
        <v>5</v>
      </c>
      <c r="G84" s="23" t="n">
        <v>4.276</v>
      </c>
      <c r="H84" s="20" t="n">
        <v>19.5</v>
      </c>
      <c r="I84" s="22" t="s">
        <v>180</v>
      </c>
      <c r="J84" s="20" t="n">
        <v>31.2</v>
      </c>
      <c r="K84" s="24" t="n">
        <f aca="false">K83+J84</f>
        <v>2479.16</v>
      </c>
      <c r="L84" s="24" t="n">
        <f aca="false">Well_Data!$B$10-K84</f>
        <v>10020.84</v>
      </c>
      <c r="M84" s="24" t="n">
        <f aca="false">Well_Data!$B$10-K84+J84</f>
        <v>10052.04</v>
      </c>
      <c r="N84" s="25" t="n">
        <f aca="false">G84^2/1029.4</f>
        <v>0.0177619739654167</v>
      </c>
      <c r="O84" s="26" t="n">
        <f aca="false">N84*J84</f>
        <v>0.554173587721002</v>
      </c>
      <c r="P84" s="25" t="n">
        <f aca="false">(F84^2-G84^2)/1029.4</f>
        <v>0.00652401787449</v>
      </c>
      <c r="Q84" s="26" t="n">
        <f aca="false">P84*J84</f>
        <v>0.203549357684088</v>
      </c>
    </row>
    <row r="85" customFormat="false" ht="15" hidden="false" customHeight="true" outlineLevel="0" collapsed="false">
      <c r="A85" s="22" t="n">
        <v>84</v>
      </c>
      <c r="B85" s="22" t="n">
        <v>77</v>
      </c>
      <c r="C85" s="22" t="n">
        <v>15</v>
      </c>
      <c r="D85" s="22" t="s">
        <v>178</v>
      </c>
      <c r="E85" s="22" t="s">
        <v>179</v>
      </c>
      <c r="F85" s="23" t="n">
        <v>5</v>
      </c>
      <c r="G85" s="23" t="n">
        <v>4.276</v>
      </c>
      <c r="H85" s="20" t="n">
        <v>19.5</v>
      </c>
      <c r="I85" s="22" t="s">
        <v>180</v>
      </c>
      <c r="J85" s="20" t="n">
        <v>31.01</v>
      </c>
      <c r="K85" s="24" t="n">
        <f aca="false">K84+J85</f>
        <v>2510.17</v>
      </c>
      <c r="L85" s="24" t="n">
        <f aca="false">Well_Data!$B$10-K85</f>
        <v>9989.83</v>
      </c>
      <c r="M85" s="24" t="n">
        <f aca="false">Well_Data!$B$10-K85+J85</f>
        <v>10020.84</v>
      </c>
      <c r="N85" s="25" t="n">
        <f aca="false">G85^2/1029.4</f>
        <v>0.0177619739654167</v>
      </c>
      <c r="O85" s="26" t="n">
        <f aca="false">N85*J85</f>
        <v>0.550798812667573</v>
      </c>
      <c r="P85" s="25" t="n">
        <f aca="false">(F85^2-G85^2)/1029.4</f>
        <v>0.00652401787449</v>
      </c>
      <c r="Q85" s="26" t="n">
        <f aca="false">P85*J85</f>
        <v>0.202309794287935</v>
      </c>
    </row>
    <row r="86" customFormat="false" ht="15" hidden="false" customHeight="true" outlineLevel="0" collapsed="false">
      <c r="A86" s="22" t="n">
        <v>85</v>
      </c>
      <c r="B86" s="22" t="n">
        <v>78</v>
      </c>
      <c r="C86" s="22" t="n">
        <v>15</v>
      </c>
      <c r="D86" s="22" t="s">
        <v>178</v>
      </c>
      <c r="E86" s="22" t="s">
        <v>179</v>
      </c>
      <c r="F86" s="23" t="n">
        <v>5</v>
      </c>
      <c r="G86" s="23" t="n">
        <v>4.276</v>
      </c>
      <c r="H86" s="20" t="n">
        <v>19.5</v>
      </c>
      <c r="I86" s="22" t="s">
        <v>180</v>
      </c>
      <c r="J86" s="20" t="n">
        <v>31.34</v>
      </c>
      <c r="K86" s="24" t="n">
        <f aca="false">K85+J86</f>
        <v>2541.51</v>
      </c>
      <c r="L86" s="24" t="n">
        <f aca="false">Well_Data!$B$10-K86</f>
        <v>9958.49</v>
      </c>
      <c r="M86" s="24" t="n">
        <f aca="false">Well_Data!$B$10-K86+J86</f>
        <v>9989.83</v>
      </c>
      <c r="N86" s="25" t="n">
        <f aca="false">G86^2/1029.4</f>
        <v>0.0177619739654167</v>
      </c>
      <c r="O86" s="26" t="n">
        <f aca="false">N86*J86</f>
        <v>0.556660264076161</v>
      </c>
      <c r="P86" s="25" t="n">
        <f aca="false">(F86^2-G86^2)/1029.4</f>
        <v>0.00652401787449</v>
      </c>
      <c r="Q86" s="26" t="n">
        <f aca="false">P86*J86</f>
        <v>0.204462720186516</v>
      </c>
    </row>
    <row r="87" customFormat="false" ht="15" hidden="false" customHeight="true" outlineLevel="0" collapsed="false">
      <c r="A87" s="22" t="n">
        <v>86</v>
      </c>
      <c r="B87" s="22" t="n">
        <v>79</v>
      </c>
      <c r="C87" s="22" t="n">
        <v>16</v>
      </c>
      <c r="D87" s="22" t="s">
        <v>178</v>
      </c>
      <c r="E87" s="22" t="s">
        <v>179</v>
      </c>
      <c r="F87" s="23" t="n">
        <v>5</v>
      </c>
      <c r="G87" s="23" t="n">
        <v>4.276</v>
      </c>
      <c r="H87" s="20" t="n">
        <v>19.5</v>
      </c>
      <c r="I87" s="22" t="s">
        <v>180</v>
      </c>
      <c r="J87" s="20" t="n">
        <v>31.65</v>
      </c>
      <c r="K87" s="24" t="n">
        <f aca="false">K86+J87</f>
        <v>2573.16</v>
      </c>
      <c r="L87" s="24" t="n">
        <f aca="false">Well_Data!$B$10-K87</f>
        <v>9926.84</v>
      </c>
      <c r="M87" s="24" t="n">
        <f aca="false">Well_Data!$B$10-K87+J87</f>
        <v>9958.49</v>
      </c>
      <c r="N87" s="25" t="n">
        <f aca="false">G87^2/1029.4</f>
        <v>0.0177619739654167</v>
      </c>
      <c r="O87" s="26" t="n">
        <f aca="false">N87*J87</f>
        <v>0.56216647600544</v>
      </c>
      <c r="P87" s="25" t="n">
        <f aca="false">(F87^2-G87^2)/1029.4</f>
        <v>0.00652401787449</v>
      </c>
      <c r="Q87" s="26" t="n">
        <f aca="false">P87*J87</f>
        <v>0.206485165727608</v>
      </c>
    </row>
    <row r="88" customFormat="false" ht="15" hidden="false" customHeight="true" outlineLevel="0" collapsed="false">
      <c r="A88" s="22" t="n">
        <v>87</v>
      </c>
      <c r="B88" s="22" t="n">
        <v>80</v>
      </c>
      <c r="C88" s="22" t="n">
        <v>16</v>
      </c>
      <c r="D88" s="22" t="s">
        <v>178</v>
      </c>
      <c r="E88" s="22" t="s">
        <v>179</v>
      </c>
      <c r="F88" s="23" t="n">
        <v>5</v>
      </c>
      <c r="G88" s="23" t="n">
        <v>4.276</v>
      </c>
      <c r="H88" s="20" t="n">
        <v>19.5</v>
      </c>
      <c r="I88" s="22" t="s">
        <v>180</v>
      </c>
      <c r="J88" s="20" t="n">
        <v>31.72</v>
      </c>
      <c r="K88" s="24" t="n">
        <f aca="false">K87+J88</f>
        <v>2604.88</v>
      </c>
      <c r="L88" s="24" t="n">
        <f aca="false">Well_Data!$B$10-K88</f>
        <v>9895.12</v>
      </c>
      <c r="M88" s="24" t="n">
        <f aca="false">Well_Data!$B$10-K88+J88</f>
        <v>9926.84</v>
      </c>
      <c r="N88" s="25" t="n">
        <f aca="false">G88^2/1029.4</f>
        <v>0.0177619739654167</v>
      </c>
      <c r="O88" s="26" t="n">
        <f aca="false">N88*J88</f>
        <v>0.563409814183019</v>
      </c>
      <c r="P88" s="25" t="n">
        <f aca="false">(F88^2-G88^2)/1029.4</f>
        <v>0.00652401787449</v>
      </c>
      <c r="Q88" s="26" t="n">
        <f aca="false">P88*J88</f>
        <v>0.206941846978823</v>
      </c>
    </row>
    <row r="89" customFormat="false" ht="15" hidden="false" customHeight="true" outlineLevel="0" collapsed="false">
      <c r="A89" s="22" t="n">
        <v>88</v>
      </c>
      <c r="B89" s="22" t="n">
        <v>81</v>
      </c>
      <c r="C89" s="22" t="n">
        <v>16</v>
      </c>
      <c r="D89" s="22" t="s">
        <v>178</v>
      </c>
      <c r="E89" s="22" t="s">
        <v>179</v>
      </c>
      <c r="F89" s="23" t="n">
        <v>5</v>
      </c>
      <c r="G89" s="23" t="n">
        <v>4.276</v>
      </c>
      <c r="H89" s="20" t="n">
        <v>19.5</v>
      </c>
      <c r="I89" s="22" t="s">
        <v>180</v>
      </c>
      <c r="J89" s="20" t="n">
        <v>31.19</v>
      </c>
      <c r="K89" s="24" t="n">
        <f aca="false">K88+J89</f>
        <v>2636.07</v>
      </c>
      <c r="L89" s="24" t="n">
        <f aca="false">Well_Data!$B$10-K89</f>
        <v>9863.93</v>
      </c>
      <c r="M89" s="24" t="n">
        <f aca="false">Well_Data!$B$10-K89+J89</f>
        <v>9895.12</v>
      </c>
      <c r="N89" s="25" t="n">
        <f aca="false">G89^2/1029.4</f>
        <v>0.0177619739654167</v>
      </c>
      <c r="O89" s="26" t="n">
        <f aca="false">N89*J89</f>
        <v>0.553995967981348</v>
      </c>
      <c r="P89" s="25" t="n">
        <f aca="false">(F89^2-G89^2)/1029.4</f>
        <v>0.00652401787449</v>
      </c>
      <c r="Q89" s="26" t="n">
        <f aca="false">P89*J89</f>
        <v>0.203484117505343</v>
      </c>
    </row>
    <row r="90" customFormat="false" ht="15" hidden="false" customHeight="true" outlineLevel="0" collapsed="false">
      <c r="A90" s="22" t="n">
        <v>89</v>
      </c>
      <c r="B90" s="22" t="n">
        <v>82</v>
      </c>
      <c r="C90" s="22" t="n">
        <v>17</v>
      </c>
      <c r="D90" s="22" t="s">
        <v>178</v>
      </c>
      <c r="E90" s="22" t="s">
        <v>179</v>
      </c>
      <c r="F90" s="23" t="n">
        <v>5</v>
      </c>
      <c r="G90" s="23" t="n">
        <v>4.276</v>
      </c>
      <c r="H90" s="20" t="n">
        <v>19.5</v>
      </c>
      <c r="I90" s="22" t="s">
        <v>180</v>
      </c>
      <c r="J90" s="20" t="n">
        <v>31.51</v>
      </c>
      <c r="K90" s="24" t="n">
        <f aca="false">K89+J90</f>
        <v>2667.58</v>
      </c>
      <c r="L90" s="24" t="n">
        <f aca="false">Well_Data!$B$10-K90</f>
        <v>9832.42</v>
      </c>
      <c r="M90" s="24" t="n">
        <f aca="false">Well_Data!$B$10-K90+J90</f>
        <v>9863.93</v>
      </c>
      <c r="N90" s="25" t="n">
        <f aca="false">G90^2/1029.4</f>
        <v>0.0177619739654167</v>
      </c>
      <c r="O90" s="26" t="n">
        <f aca="false">N90*J90</f>
        <v>0.559679799650282</v>
      </c>
      <c r="P90" s="25" t="n">
        <f aca="false">(F90^2-G90^2)/1029.4</f>
        <v>0.00652401787449</v>
      </c>
      <c r="Q90" s="26" t="n">
        <f aca="false">P90*J90</f>
        <v>0.20557180322518</v>
      </c>
    </row>
    <row r="91" customFormat="false" ht="15" hidden="false" customHeight="true" outlineLevel="0" collapsed="false">
      <c r="A91" s="22" t="n">
        <v>90</v>
      </c>
      <c r="B91" s="22" t="n">
        <v>83</v>
      </c>
      <c r="C91" s="22" t="n">
        <v>17</v>
      </c>
      <c r="D91" s="22" t="s">
        <v>178</v>
      </c>
      <c r="E91" s="22" t="s">
        <v>179</v>
      </c>
      <c r="F91" s="23" t="n">
        <v>5</v>
      </c>
      <c r="G91" s="23" t="n">
        <v>4.276</v>
      </c>
      <c r="H91" s="20" t="n">
        <v>19.5</v>
      </c>
      <c r="I91" s="22" t="s">
        <v>180</v>
      </c>
      <c r="J91" s="20" t="n">
        <v>30.97</v>
      </c>
      <c r="K91" s="24" t="n">
        <f aca="false">K90+J91</f>
        <v>2698.55</v>
      </c>
      <c r="L91" s="24" t="n">
        <f aca="false">Well_Data!$B$10-K91</f>
        <v>9801.45</v>
      </c>
      <c r="M91" s="24" t="n">
        <f aca="false">Well_Data!$B$10-K91+J91</f>
        <v>9832.42</v>
      </c>
      <c r="N91" s="25" t="n">
        <f aca="false">G91^2/1029.4</f>
        <v>0.0177619739654167</v>
      </c>
      <c r="O91" s="26" t="n">
        <f aca="false">N91*J91</f>
        <v>0.550088333708957</v>
      </c>
      <c r="P91" s="25" t="n">
        <f aca="false">(F91^2-G91^2)/1029.4</f>
        <v>0.00652401787449</v>
      </c>
      <c r="Q91" s="26" t="n">
        <f aca="false">P91*J91</f>
        <v>0.202048833572955</v>
      </c>
    </row>
    <row r="92" customFormat="false" ht="15" hidden="false" customHeight="true" outlineLevel="0" collapsed="false">
      <c r="A92" s="22" t="n">
        <v>91</v>
      </c>
      <c r="B92" s="22" t="n">
        <v>84</v>
      </c>
      <c r="C92" s="22" t="n">
        <v>17</v>
      </c>
      <c r="D92" s="22" t="s">
        <v>178</v>
      </c>
      <c r="E92" s="22" t="s">
        <v>179</v>
      </c>
      <c r="F92" s="23" t="n">
        <v>5</v>
      </c>
      <c r="G92" s="23" t="n">
        <v>4.276</v>
      </c>
      <c r="H92" s="20" t="n">
        <v>19.5</v>
      </c>
      <c r="I92" s="22" t="s">
        <v>180</v>
      </c>
      <c r="J92" s="20" t="n">
        <v>30.91</v>
      </c>
      <c r="K92" s="24" t="n">
        <f aca="false">K91+J92</f>
        <v>2729.46</v>
      </c>
      <c r="L92" s="24" t="n">
        <f aca="false">Well_Data!$B$10-K92</f>
        <v>9770.54</v>
      </c>
      <c r="M92" s="24" t="n">
        <f aca="false">Well_Data!$B$10-K92+J92</f>
        <v>9801.45</v>
      </c>
      <c r="N92" s="25" t="n">
        <f aca="false">G92^2/1029.4</f>
        <v>0.0177619739654167</v>
      </c>
      <c r="O92" s="26" t="n">
        <f aca="false">N92*J92</f>
        <v>0.549022615271032</v>
      </c>
      <c r="P92" s="25" t="n">
        <f aca="false">(F92^2-G92^2)/1029.4</f>
        <v>0.00652401787449</v>
      </c>
      <c r="Q92" s="26" t="n">
        <f aca="false">P92*J92</f>
        <v>0.201657392500486</v>
      </c>
    </row>
    <row r="93" customFormat="false" ht="15" hidden="false" customHeight="true" outlineLevel="0" collapsed="false">
      <c r="A93" s="22" t="n">
        <v>92</v>
      </c>
      <c r="B93" s="22" t="n">
        <v>85</v>
      </c>
      <c r="C93" s="22" t="n">
        <v>18</v>
      </c>
      <c r="D93" s="22" t="s">
        <v>178</v>
      </c>
      <c r="E93" s="22" t="s">
        <v>179</v>
      </c>
      <c r="F93" s="23" t="n">
        <v>5</v>
      </c>
      <c r="G93" s="23" t="n">
        <v>4.276</v>
      </c>
      <c r="H93" s="20" t="n">
        <v>19.5</v>
      </c>
      <c r="I93" s="22" t="s">
        <v>180</v>
      </c>
      <c r="J93" s="20" t="n">
        <v>31.14</v>
      </c>
      <c r="K93" s="24" t="n">
        <f aca="false">K92+J93</f>
        <v>2760.6</v>
      </c>
      <c r="L93" s="24" t="n">
        <f aca="false">Well_Data!$B$10-K93</f>
        <v>9739.4</v>
      </c>
      <c r="M93" s="24" t="n">
        <f aca="false">Well_Data!$B$10-K93+J93</f>
        <v>9770.54</v>
      </c>
      <c r="N93" s="25" t="n">
        <f aca="false">G93^2/1029.4</f>
        <v>0.0177619739654167</v>
      </c>
      <c r="O93" s="26" t="n">
        <f aca="false">N93*J93</f>
        <v>0.553107869283077</v>
      </c>
      <c r="P93" s="25" t="n">
        <f aca="false">(F93^2-G93^2)/1029.4</f>
        <v>0.00652401787449</v>
      </c>
      <c r="Q93" s="26" t="n">
        <f aca="false">P93*J93</f>
        <v>0.203157916611618</v>
      </c>
    </row>
    <row r="94" customFormat="false" ht="15" hidden="false" customHeight="true" outlineLevel="0" collapsed="false">
      <c r="A94" s="22" t="n">
        <v>93</v>
      </c>
      <c r="B94" s="22" t="n">
        <v>86</v>
      </c>
      <c r="C94" s="22" t="n">
        <v>18</v>
      </c>
      <c r="D94" s="22" t="s">
        <v>178</v>
      </c>
      <c r="E94" s="22" t="s">
        <v>179</v>
      </c>
      <c r="F94" s="23" t="n">
        <v>5</v>
      </c>
      <c r="G94" s="23" t="n">
        <v>4.276</v>
      </c>
      <c r="H94" s="20" t="n">
        <v>19.5</v>
      </c>
      <c r="I94" s="22" t="s">
        <v>180</v>
      </c>
      <c r="J94" s="20" t="n">
        <v>30.73</v>
      </c>
      <c r="K94" s="24" t="n">
        <f aca="false">K93+J94</f>
        <v>2791.33</v>
      </c>
      <c r="L94" s="24" t="n">
        <f aca="false">Well_Data!$B$10-K94</f>
        <v>9708.67</v>
      </c>
      <c r="M94" s="24" t="n">
        <f aca="false">Well_Data!$B$10-K94+J94</f>
        <v>9739.4</v>
      </c>
      <c r="N94" s="25" t="n">
        <f aca="false">G94^2/1029.4</f>
        <v>0.0177619739654167</v>
      </c>
      <c r="O94" s="26" t="n">
        <f aca="false">N94*J94</f>
        <v>0.545825459957257</v>
      </c>
      <c r="P94" s="25" t="n">
        <f aca="false">(F94^2-G94^2)/1029.4</f>
        <v>0.00652401787449</v>
      </c>
      <c r="Q94" s="26" t="n">
        <f aca="false">P94*J94</f>
        <v>0.200483069283078</v>
      </c>
    </row>
    <row r="95" customFormat="false" ht="15" hidden="false" customHeight="true" outlineLevel="0" collapsed="false">
      <c r="A95" s="22" t="n">
        <v>94</v>
      </c>
      <c r="B95" s="22" t="n">
        <v>87</v>
      </c>
      <c r="C95" s="22" t="n">
        <v>18</v>
      </c>
      <c r="D95" s="22" t="s">
        <v>178</v>
      </c>
      <c r="E95" s="22" t="s">
        <v>179</v>
      </c>
      <c r="F95" s="23" t="n">
        <v>5</v>
      </c>
      <c r="G95" s="23" t="n">
        <v>4.276</v>
      </c>
      <c r="H95" s="20" t="n">
        <v>19.5</v>
      </c>
      <c r="I95" s="22" t="s">
        <v>180</v>
      </c>
      <c r="J95" s="20" t="n">
        <v>31.05</v>
      </c>
      <c r="K95" s="24" t="n">
        <f aca="false">K94+J95</f>
        <v>2822.38</v>
      </c>
      <c r="L95" s="24" t="n">
        <f aca="false">Well_Data!$B$10-K95</f>
        <v>9677.62</v>
      </c>
      <c r="M95" s="24" t="n">
        <f aca="false">Well_Data!$B$10-K95+J95</f>
        <v>9708.67</v>
      </c>
      <c r="N95" s="25" t="n">
        <f aca="false">G95^2/1029.4</f>
        <v>0.0177619739654167</v>
      </c>
      <c r="O95" s="26" t="n">
        <f aca="false">N95*J95</f>
        <v>0.55150929162619</v>
      </c>
      <c r="P95" s="25" t="n">
        <f aca="false">(F95^2-G95^2)/1029.4</f>
        <v>0.00652401787449</v>
      </c>
      <c r="Q95" s="26" t="n">
        <f aca="false">P95*J95</f>
        <v>0.202570755002914</v>
      </c>
    </row>
    <row r="96" customFormat="false" ht="15" hidden="false" customHeight="true" outlineLevel="0" collapsed="false">
      <c r="A96" s="22" t="n">
        <v>95</v>
      </c>
      <c r="B96" s="22" t="n">
        <v>88</v>
      </c>
      <c r="C96" s="22" t="n">
        <v>19</v>
      </c>
      <c r="D96" s="22" t="s">
        <v>178</v>
      </c>
      <c r="E96" s="22" t="s">
        <v>179</v>
      </c>
      <c r="F96" s="23" t="n">
        <v>5</v>
      </c>
      <c r="G96" s="23" t="n">
        <v>4.276</v>
      </c>
      <c r="H96" s="20" t="n">
        <v>19.5</v>
      </c>
      <c r="I96" s="22" t="s">
        <v>180</v>
      </c>
      <c r="J96" s="20" t="n">
        <v>31.1</v>
      </c>
      <c r="K96" s="24" t="n">
        <f aca="false">K95+J96</f>
        <v>2853.48</v>
      </c>
      <c r="L96" s="24" t="n">
        <f aca="false">Well_Data!$B$10-K96</f>
        <v>9646.52</v>
      </c>
      <c r="M96" s="24" t="n">
        <f aca="false">Well_Data!$B$10-K96+J96</f>
        <v>9677.62</v>
      </c>
      <c r="N96" s="25" t="n">
        <f aca="false">G96^2/1029.4</f>
        <v>0.0177619739654167</v>
      </c>
      <c r="O96" s="26" t="n">
        <f aca="false">N96*J96</f>
        <v>0.552397390324461</v>
      </c>
      <c r="P96" s="25" t="n">
        <f aca="false">(F96^2-G96^2)/1029.4</f>
        <v>0.00652401787449</v>
      </c>
      <c r="Q96" s="26" t="n">
        <f aca="false">P96*J96</f>
        <v>0.202896955896639</v>
      </c>
    </row>
    <row r="97" customFormat="false" ht="15" hidden="false" customHeight="true" outlineLevel="0" collapsed="false">
      <c r="A97" s="22" t="n">
        <v>96</v>
      </c>
      <c r="B97" s="22" t="n">
        <v>89</v>
      </c>
      <c r="C97" s="22" t="n">
        <v>19</v>
      </c>
      <c r="D97" s="22" t="s">
        <v>178</v>
      </c>
      <c r="E97" s="22" t="s">
        <v>179</v>
      </c>
      <c r="F97" s="23" t="n">
        <v>5</v>
      </c>
      <c r="G97" s="23" t="n">
        <v>4.276</v>
      </c>
      <c r="H97" s="20" t="n">
        <v>19.5</v>
      </c>
      <c r="I97" s="22" t="s">
        <v>180</v>
      </c>
      <c r="J97" s="20" t="n">
        <v>31</v>
      </c>
      <c r="K97" s="24" t="n">
        <f aca="false">K96+J97</f>
        <v>2884.48</v>
      </c>
      <c r="L97" s="24" t="n">
        <f aca="false">Well_Data!$B$10-K97</f>
        <v>9615.52</v>
      </c>
      <c r="M97" s="24" t="n">
        <f aca="false">Well_Data!$B$10-K97+J97</f>
        <v>9646.52</v>
      </c>
      <c r="N97" s="25" t="n">
        <f aca="false">G97^2/1029.4</f>
        <v>0.0177619739654167</v>
      </c>
      <c r="O97" s="26" t="n">
        <f aca="false">N97*J97</f>
        <v>0.550621192927919</v>
      </c>
      <c r="P97" s="25" t="n">
        <f aca="false">(F97^2-G97^2)/1029.4</f>
        <v>0.00652401787449</v>
      </c>
      <c r="Q97" s="26" t="n">
        <f aca="false">P97*J97</f>
        <v>0.20224455410919</v>
      </c>
    </row>
    <row r="98" customFormat="false" ht="15" hidden="false" customHeight="true" outlineLevel="0" collapsed="false">
      <c r="A98" s="22" t="n">
        <v>97</v>
      </c>
      <c r="B98" s="22" t="n">
        <v>90</v>
      </c>
      <c r="C98" s="22" t="n">
        <v>19</v>
      </c>
      <c r="D98" s="22" t="s">
        <v>178</v>
      </c>
      <c r="E98" s="22" t="s">
        <v>179</v>
      </c>
      <c r="F98" s="23" t="n">
        <v>5</v>
      </c>
      <c r="G98" s="23" t="n">
        <v>4.276</v>
      </c>
      <c r="H98" s="20" t="n">
        <v>19.5</v>
      </c>
      <c r="I98" s="22" t="s">
        <v>180</v>
      </c>
      <c r="J98" s="20" t="n">
        <v>31.03</v>
      </c>
      <c r="K98" s="24" t="n">
        <f aca="false">K97+J98</f>
        <v>2915.51</v>
      </c>
      <c r="L98" s="24" t="n">
        <f aca="false">Well_Data!$B$10-K98</f>
        <v>9584.49</v>
      </c>
      <c r="M98" s="24" t="n">
        <f aca="false">Well_Data!$B$10-K98+J98</f>
        <v>9615.52</v>
      </c>
      <c r="N98" s="25" t="n">
        <f aca="false">G98^2/1029.4</f>
        <v>0.0177619739654167</v>
      </c>
      <c r="O98" s="26" t="n">
        <f aca="false">N98*J98</f>
        <v>0.551154052146882</v>
      </c>
      <c r="P98" s="25" t="n">
        <f aca="false">(F98^2-G98^2)/1029.4</f>
        <v>0.00652401787449</v>
      </c>
      <c r="Q98" s="26" t="n">
        <f aca="false">P98*J98</f>
        <v>0.202440274645425</v>
      </c>
    </row>
    <row r="99" customFormat="false" ht="15" hidden="false" customHeight="true" outlineLevel="0" collapsed="false">
      <c r="A99" s="22" t="n">
        <v>98</v>
      </c>
      <c r="B99" s="22" t="n">
        <v>91</v>
      </c>
      <c r="C99" s="22" t="n">
        <v>20</v>
      </c>
      <c r="D99" s="22" t="s">
        <v>178</v>
      </c>
      <c r="E99" s="22" t="s">
        <v>179</v>
      </c>
      <c r="F99" s="23" t="n">
        <v>5</v>
      </c>
      <c r="G99" s="23" t="n">
        <v>4.276</v>
      </c>
      <c r="H99" s="20" t="n">
        <v>19.5</v>
      </c>
      <c r="I99" s="22" t="s">
        <v>180</v>
      </c>
      <c r="J99" s="20" t="n">
        <v>31.12</v>
      </c>
      <c r="K99" s="24" t="n">
        <f aca="false">K98+J99</f>
        <v>2946.63</v>
      </c>
      <c r="L99" s="24" t="n">
        <f aca="false">Well_Data!$B$10-K99</f>
        <v>9553.37</v>
      </c>
      <c r="M99" s="24" t="n">
        <f aca="false">Well_Data!$B$10-K99+J99</f>
        <v>9584.49</v>
      </c>
      <c r="N99" s="25" t="n">
        <f aca="false">G99^2/1029.4</f>
        <v>0.0177619739654167</v>
      </c>
      <c r="O99" s="26" t="n">
        <f aca="false">N99*J99</f>
        <v>0.552752629803769</v>
      </c>
      <c r="P99" s="25" t="n">
        <f aca="false">(F99^2-G99^2)/1029.4</f>
        <v>0.00652401787449</v>
      </c>
      <c r="Q99" s="26" t="n">
        <f aca="false">P99*J99</f>
        <v>0.203027436254129</v>
      </c>
    </row>
    <row r="100" customFormat="false" ht="15" hidden="false" customHeight="true" outlineLevel="0" collapsed="false">
      <c r="A100" s="22" t="n">
        <v>99</v>
      </c>
      <c r="B100" s="22" t="n">
        <v>92</v>
      </c>
      <c r="C100" s="22" t="n">
        <v>20</v>
      </c>
      <c r="D100" s="22" t="s">
        <v>178</v>
      </c>
      <c r="E100" s="22" t="s">
        <v>179</v>
      </c>
      <c r="F100" s="23" t="n">
        <v>5</v>
      </c>
      <c r="G100" s="23" t="n">
        <v>4.276</v>
      </c>
      <c r="H100" s="20" t="n">
        <v>19.5</v>
      </c>
      <c r="I100" s="22" t="s">
        <v>180</v>
      </c>
      <c r="J100" s="20" t="n">
        <v>30.96</v>
      </c>
      <c r="K100" s="24" t="n">
        <f aca="false">K99+J100</f>
        <v>2977.59</v>
      </c>
      <c r="L100" s="24" t="n">
        <f aca="false">Well_Data!$B$10-K100</f>
        <v>9522.41</v>
      </c>
      <c r="M100" s="24" t="n">
        <f aca="false">Well_Data!$B$10-K100+J100</f>
        <v>9553.37</v>
      </c>
      <c r="N100" s="25" t="n">
        <f aca="false">G100^2/1029.4</f>
        <v>0.0177619739654167</v>
      </c>
      <c r="O100" s="26" t="n">
        <f aca="false">N100*J100</f>
        <v>0.549910713969302</v>
      </c>
      <c r="P100" s="25" t="n">
        <f aca="false">(F100^2-G100^2)/1029.4</f>
        <v>0.00652401787449</v>
      </c>
      <c r="Q100" s="26" t="n">
        <f aca="false">P100*J100</f>
        <v>0.20198359339421</v>
      </c>
    </row>
    <row r="101" customFormat="false" ht="15" hidden="false" customHeight="true" outlineLevel="0" collapsed="false">
      <c r="A101" s="22" t="n">
        <v>100</v>
      </c>
      <c r="B101" s="22" t="n">
        <v>93</v>
      </c>
      <c r="C101" s="22" t="n">
        <v>20</v>
      </c>
      <c r="D101" s="22" t="s">
        <v>178</v>
      </c>
      <c r="E101" s="22" t="s">
        <v>179</v>
      </c>
      <c r="F101" s="23" t="n">
        <v>5</v>
      </c>
      <c r="G101" s="23" t="n">
        <v>4.276</v>
      </c>
      <c r="H101" s="20" t="n">
        <v>19.5</v>
      </c>
      <c r="I101" s="22" t="s">
        <v>180</v>
      </c>
      <c r="J101" s="20" t="n">
        <v>31.32</v>
      </c>
      <c r="K101" s="24" t="n">
        <f aca="false">K100+J101</f>
        <v>3008.91</v>
      </c>
      <c r="L101" s="24" t="n">
        <f aca="false">Well_Data!$B$10-K101</f>
        <v>9491.09</v>
      </c>
      <c r="M101" s="24" t="n">
        <f aca="false">Well_Data!$B$10-K101+J101</f>
        <v>9522.41</v>
      </c>
      <c r="N101" s="25" t="n">
        <f aca="false">G101^2/1029.4</f>
        <v>0.0177619739654167</v>
      </c>
      <c r="O101" s="26" t="n">
        <f aca="false">N101*J101</f>
        <v>0.556305024596852</v>
      </c>
      <c r="P101" s="25" t="n">
        <f aca="false">(F101^2-G101^2)/1029.4</f>
        <v>0.00652401787449</v>
      </c>
      <c r="Q101" s="26" t="n">
        <f aca="false">P101*J101</f>
        <v>0.204332239829027</v>
      </c>
    </row>
    <row r="102" customFormat="false" ht="15" hidden="false" customHeight="true" outlineLevel="0" collapsed="false">
      <c r="A102" s="22" t="n">
        <v>101</v>
      </c>
      <c r="B102" s="22" t="n">
        <v>94</v>
      </c>
      <c r="C102" s="22" t="n">
        <v>21</v>
      </c>
      <c r="D102" s="22" t="s">
        <v>178</v>
      </c>
      <c r="E102" s="22" t="s">
        <v>179</v>
      </c>
      <c r="F102" s="23" t="n">
        <v>5</v>
      </c>
      <c r="G102" s="23" t="n">
        <v>4.276</v>
      </c>
      <c r="H102" s="20" t="n">
        <v>19.5</v>
      </c>
      <c r="I102" s="22" t="s">
        <v>180</v>
      </c>
      <c r="J102" s="20" t="n">
        <v>31.19</v>
      </c>
      <c r="K102" s="24" t="n">
        <f aca="false">K101+J102</f>
        <v>3040.1</v>
      </c>
      <c r="L102" s="24" t="n">
        <f aca="false">Well_Data!$B$10-K102</f>
        <v>9459.9</v>
      </c>
      <c r="M102" s="24" t="n">
        <f aca="false">Well_Data!$B$10-K102+J102</f>
        <v>9491.09</v>
      </c>
      <c r="N102" s="25" t="n">
        <f aca="false">G102^2/1029.4</f>
        <v>0.0177619739654167</v>
      </c>
      <c r="O102" s="26" t="n">
        <f aca="false">N102*J102</f>
        <v>0.553995967981348</v>
      </c>
      <c r="P102" s="25" t="n">
        <f aca="false">(F102^2-G102^2)/1029.4</f>
        <v>0.00652401787449</v>
      </c>
      <c r="Q102" s="26" t="n">
        <f aca="false">P102*J102</f>
        <v>0.203484117505343</v>
      </c>
    </row>
    <row r="103" customFormat="false" ht="15" hidden="false" customHeight="true" outlineLevel="0" collapsed="false">
      <c r="A103" s="22" t="n">
        <v>102</v>
      </c>
      <c r="B103" s="22" t="n">
        <v>95</v>
      </c>
      <c r="C103" s="22" t="n">
        <v>21</v>
      </c>
      <c r="D103" s="22" t="s">
        <v>178</v>
      </c>
      <c r="E103" s="22" t="s">
        <v>179</v>
      </c>
      <c r="F103" s="23" t="n">
        <v>5</v>
      </c>
      <c r="G103" s="23" t="n">
        <v>4.276</v>
      </c>
      <c r="H103" s="20" t="n">
        <v>19.5</v>
      </c>
      <c r="I103" s="22" t="s">
        <v>180</v>
      </c>
      <c r="J103" s="20" t="n">
        <v>31.14</v>
      </c>
      <c r="K103" s="24" t="n">
        <f aca="false">K102+J103</f>
        <v>3071.24</v>
      </c>
      <c r="L103" s="24" t="n">
        <f aca="false">Well_Data!$B$10-K103</f>
        <v>9428.76</v>
      </c>
      <c r="M103" s="24" t="n">
        <f aca="false">Well_Data!$B$10-K103+J103</f>
        <v>9459.9</v>
      </c>
      <c r="N103" s="25" t="n">
        <f aca="false">G103^2/1029.4</f>
        <v>0.0177619739654167</v>
      </c>
      <c r="O103" s="26" t="n">
        <f aca="false">N103*J103</f>
        <v>0.553107869283077</v>
      </c>
      <c r="P103" s="25" t="n">
        <f aca="false">(F103^2-G103^2)/1029.4</f>
        <v>0.00652401787449</v>
      </c>
      <c r="Q103" s="26" t="n">
        <f aca="false">P103*J103</f>
        <v>0.203157916611618</v>
      </c>
    </row>
    <row r="104" customFormat="false" ht="15" hidden="false" customHeight="true" outlineLevel="0" collapsed="false">
      <c r="A104" s="22" t="n">
        <v>103</v>
      </c>
      <c r="B104" s="22" t="n">
        <v>96</v>
      </c>
      <c r="C104" s="22" t="n">
        <v>21</v>
      </c>
      <c r="D104" s="22" t="s">
        <v>178</v>
      </c>
      <c r="E104" s="22" t="s">
        <v>179</v>
      </c>
      <c r="F104" s="23" t="n">
        <v>5</v>
      </c>
      <c r="G104" s="23" t="n">
        <v>4.276</v>
      </c>
      <c r="H104" s="20" t="n">
        <v>19.5</v>
      </c>
      <c r="I104" s="22" t="s">
        <v>180</v>
      </c>
      <c r="J104" s="20" t="n">
        <v>31.09</v>
      </c>
      <c r="K104" s="24" t="n">
        <f aca="false">K103+J104</f>
        <v>3102.33</v>
      </c>
      <c r="L104" s="24" t="n">
        <f aca="false">Well_Data!$B$10-K104</f>
        <v>9397.67</v>
      </c>
      <c r="M104" s="24" t="n">
        <f aca="false">Well_Data!$B$10-K104+J104</f>
        <v>9428.76</v>
      </c>
      <c r="N104" s="25" t="n">
        <f aca="false">G104^2/1029.4</f>
        <v>0.0177619739654167</v>
      </c>
      <c r="O104" s="26" t="n">
        <f aca="false">N104*J104</f>
        <v>0.552219770584807</v>
      </c>
      <c r="P104" s="25" t="n">
        <f aca="false">(F104^2-G104^2)/1029.4</f>
        <v>0.00652401787449</v>
      </c>
      <c r="Q104" s="26" t="n">
        <f aca="false">P104*J104</f>
        <v>0.202831715717894</v>
      </c>
    </row>
    <row r="105" customFormat="false" ht="15" hidden="false" customHeight="true" outlineLevel="0" collapsed="false">
      <c r="A105" s="22" t="n">
        <v>104</v>
      </c>
      <c r="B105" s="22" t="n">
        <v>97</v>
      </c>
      <c r="C105" s="22" t="n">
        <v>22</v>
      </c>
      <c r="D105" s="22" t="s">
        <v>178</v>
      </c>
      <c r="E105" s="22" t="s">
        <v>179</v>
      </c>
      <c r="F105" s="23" t="n">
        <v>5</v>
      </c>
      <c r="G105" s="23" t="n">
        <v>4.276</v>
      </c>
      <c r="H105" s="20" t="n">
        <v>19.5</v>
      </c>
      <c r="I105" s="22" t="s">
        <v>180</v>
      </c>
      <c r="J105" s="20" t="n">
        <v>31.77</v>
      </c>
      <c r="K105" s="24" t="n">
        <f aca="false">K104+J105</f>
        <v>3134.1</v>
      </c>
      <c r="L105" s="24" t="n">
        <f aca="false">Well_Data!$B$10-K105</f>
        <v>9365.9</v>
      </c>
      <c r="M105" s="24" t="n">
        <f aca="false">Well_Data!$B$10-K105+J105</f>
        <v>9397.67</v>
      </c>
      <c r="N105" s="25" t="n">
        <f aca="false">G105^2/1029.4</f>
        <v>0.0177619739654167</v>
      </c>
      <c r="O105" s="26" t="n">
        <f aca="false">N105*J105</f>
        <v>0.56429791288129</v>
      </c>
      <c r="P105" s="25" t="n">
        <f aca="false">(F105^2-G105^2)/1029.4</f>
        <v>0.00652401787449</v>
      </c>
      <c r="Q105" s="26" t="n">
        <f aca="false">P105*J105</f>
        <v>0.207268047872547</v>
      </c>
    </row>
    <row r="106" customFormat="false" ht="15" hidden="false" customHeight="true" outlineLevel="0" collapsed="false">
      <c r="A106" s="22" t="n">
        <v>105</v>
      </c>
      <c r="B106" s="22" t="n">
        <v>98</v>
      </c>
      <c r="C106" s="22" t="n">
        <v>22</v>
      </c>
      <c r="D106" s="22" t="s">
        <v>178</v>
      </c>
      <c r="E106" s="22" t="s">
        <v>179</v>
      </c>
      <c r="F106" s="23" t="n">
        <v>5</v>
      </c>
      <c r="G106" s="23" t="n">
        <v>4.276</v>
      </c>
      <c r="H106" s="20" t="n">
        <v>19.5</v>
      </c>
      <c r="I106" s="22" t="s">
        <v>180</v>
      </c>
      <c r="J106" s="20" t="n">
        <v>31.68</v>
      </c>
      <c r="K106" s="24" t="n">
        <f aca="false">K105+J106</f>
        <v>3165.78</v>
      </c>
      <c r="L106" s="24" t="n">
        <f aca="false">Well_Data!$B$10-K106</f>
        <v>9334.22</v>
      </c>
      <c r="M106" s="24" t="n">
        <f aca="false">Well_Data!$B$10-K106+J106</f>
        <v>9365.9</v>
      </c>
      <c r="N106" s="25" t="n">
        <f aca="false">G106^2/1029.4</f>
        <v>0.0177619739654167</v>
      </c>
      <c r="O106" s="26" t="n">
        <f aca="false">N106*J106</f>
        <v>0.562699335224402</v>
      </c>
      <c r="P106" s="25" t="n">
        <f aca="false">(F106^2-G106^2)/1029.4</f>
        <v>0.00652401787449</v>
      </c>
      <c r="Q106" s="26" t="n">
        <f aca="false">P106*J106</f>
        <v>0.206680886263843</v>
      </c>
    </row>
    <row r="107" customFormat="false" ht="15" hidden="false" customHeight="true" outlineLevel="0" collapsed="false">
      <c r="A107" s="22" t="n">
        <v>106</v>
      </c>
      <c r="B107" s="22" t="n">
        <v>99</v>
      </c>
      <c r="C107" s="22" t="n">
        <v>22</v>
      </c>
      <c r="D107" s="22" t="s">
        <v>178</v>
      </c>
      <c r="E107" s="22" t="s">
        <v>179</v>
      </c>
      <c r="F107" s="23" t="n">
        <v>5</v>
      </c>
      <c r="G107" s="23" t="n">
        <v>4.276</v>
      </c>
      <c r="H107" s="20" t="n">
        <v>19.5</v>
      </c>
      <c r="I107" s="22" t="s">
        <v>180</v>
      </c>
      <c r="J107" s="20" t="n">
        <v>31.08</v>
      </c>
      <c r="K107" s="24" t="n">
        <f aca="false">K106+J107</f>
        <v>3196.86</v>
      </c>
      <c r="L107" s="24" t="n">
        <f aca="false">Well_Data!$B$10-K107</f>
        <v>9303.14</v>
      </c>
      <c r="M107" s="24" t="n">
        <f aca="false">Well_Data!$B$10-K107+J107</f>
        <v>9334.22</v>
      </c>
      <c r="N107" s="25" t="n">
        <f aca="false">G107^2/1029.4</f>
        <v>0.0177619739654167</v>
      </c>
      <c r="O107" s="26" t="n">
        <f aca="false">N107*J107</f>
        <v>0.552042150845152</v>
      </c>
      <c r="P107" s="25" t="n">
        <f aca="false">(F107^2-G107^2)/1029.4</f>
        <v>0.00652401787449</v>
      </c>
      <c r="Q107" s="26" t="n">
        <f aca="false">P107*J107</f>
        <v>0.202766475539149</v>
      </c>
    </row>
    <row r="108" customFormat="false" ht="15" hidden="false" customHeight="true" outlineLevel="0" collapsed="false">
      <c r="A108" s="22" t="n">
        <v>107</v>
      </c>
      <c r="B108" s="22" t="n">
        <v>100</v>
      </c>
      <c r="C108" s="22" t="n">
        <v>23</v>
      </c>
      <c r="D108" s="22" t="s">
        <v>178</v>
      </c>
      <c r="E108" s="22" t="s">
        <v>179</v>
      </c>
      <c r="F108" s="23" t="n">
        <v>5</v>
      </c>
      <c r="G108" s="23" t="n">
        <v>4.276</v>
      </c>
      <c r="H108" s="20" t="n">
        <v>19.5</v>
      </c>
      <c r="I108" s="22" t="s">
        <v>180</v>
      </c>
      <c r="J108" s="20" t="n">
        <v>31.5</v>
      </c>
      <c r="K108" s="24" t="n">
        <f aca="false">K107+J108</f>
        <v>3228.36</v>
      </c>
      <c r="L108" s="24" t="n">
        <f aca="false">Well_Data!$B$10-K108</f>
        <v>9271.64</v>
      </c>
      <c r="M108" s="24" t="n">
        <f aca="false">Well_Data!$B$10-K108+J108</f>
        <v>9303.14</v>
      </c>
      <c r="N108" s="25" t="n">
        <f aca="false">G108^2/1029.4</f>
        <v>0.0177619739654167</v>
      </c>
      <c r="O108" s="26" t="n">
        <f aca="false">N108*J108</f>
        <v>0.559502179910628</v>
      </c>
      <c r="P108" s="25" t="n">
        <f aca="false">(F108^2-G108^2)/1029.4</f>
        <v>0.00652401787449</v>
      </c>
      <c r="Q108" s="26" t="n">
        <f aca="false">P108*J108</f>
        <v>0.205506563046435</v>
      </c>
    </row>
    <row r="109" customFormat="false" ht="15" hidden="false" customHeight="true" outlineLevel="0" collapsed="false">
      <c r="A109" s="22" t="n">
        <v>108</v>
      </c>
      <c r="B109" s="22" t="n">
        <v>101</v>
      </c>
      <c r="C109" s="22" t="n">
        <v>23</v>
      </c>
      <c r="D109" s="22" t="s">
        <v>178</v>
      </c>
      <c r="E109" s="22" t="s">
        <v>179</v>
      </c>
      <c r="F109" s="23" t="n">
        <v>5</v>
      </c>
      <c r="G109" s="23" t="n">
        <v>4.276</v>
      </c>
      <c r="H109" s="20" t="n">
        <v>19.5</v>
      </c>
      <c r="I109" s="22" t="s">
        <v>180</v>
      </c>
      <c r="J109" s="20" t="n">
        <v>31.1</v>
      </c>
      <c r="K109" s="24" t="n">
        <f aca="false">K108+J109</f>
        <v>3259.46</v>
      </c>
      <c r="L109" s="24" t="n">
        <f aca="false">Well_Data!$B$10-K109</f>
        <v>9240.54</v>
      </c>
      <c r="M109" s="24" t="n">
        <f aca="false">Well_Data!$B$10-K109+J109</f>
        <v>9271.64</v>
      </c>
      <c r="N109" s="25" t="n">
        <f aca="false">G109^2/1029.4</f>
        <v>0.0177619739654167</v>
      </c>
      <c r="O109" s="26" t="n">
        <f aca="false">N109*J109</f>
        <v>0.552397390324461</v>
      </c>
      <c r="P109" s="25" t="n">
        <f aca="false">(F109^2-G109^2)/1029.4</f>
        <v>0.00652401787449</v>
      </c>
      <c r="Q109" s="26" t="n">
        <f aca="false">P109*J109</f>
        <v>0.202896955896639</v>
      </c>
    </row>
    <row r="110" customFormat="false" ht="15" hidden="false" customHeight="true" outlineLevel="0" collapsed="false">
      <c r="A110" s="22" t="n">
        <v>109</v>
      </c>
      <c r="B110" s="22" t="n">
        <v>102</v>
      </c>
      <c r="C110" s="22" t="n">
        <v>23</v>
      </c>
      <c r="D110" s="22" t="s">
        <v>178</v>
      </c>
      <c r="E110" s="22" t="s">
        <v>179</v>
      </c>
      <c r="F110" s="23" t="n">
        <v>5</v>
      </c>
      <c r="G110" s="23" t="n">
        <v>4.276</v>
      </c>
      <c r="H110" s="20" t="n">
        <v>19.5</v>
      </c>
      <c r="I110" s="22" t="s">
        <v>180</v>
      </c>
      <c r="J110" s="20" t="n">
        <v>31.3</v>
      </c>
      <c r="K110" s="24" t="n">
        <f aca="false">K109+J110</f>
        <v>3290.76</v>
      </c>
      <c r="L110" s="24" t="n">
        <f aca="false">Well_Data!$B$10-K110</f>
        <v>9209.24</v>
      </c>
      <c r="M110" s="24" t="n">
        <f aca="false">Well_Data!$B$10-K110+J110</f>
        <v>9240.54</v>
      </c>
      <c r="N110" s="25" t="n">
        <f aca="false">G110^2/1029.4</f>
        <v>0.0177619739654167</v>
      </c>
      <c r="O110" s="26" t="n">
        <f aca="false">N110*J110</f>
        <v>0.555949785117544</v>
      </c>
      <c r="P110" s="25" t="n">
        <f aca="false">(F110^2-G110^2)/1029.4</f>
        <v>0.00652401787449</v>
      </c>
      <c r="Q110" s="26" t="n">
        <f aca="false">P110*J110</f>
        <v>0.204201759471537</v>
      </c>
    </row>
    <row r="111" customFormat="false" ht="15" hidden="false" customHeight="true" outlineLevel="0" collapsed="false">
      <c r="A111" s="22" t="n">
        <v>110</v>
      </c>
      <c r="B111" s="22" t="n">
        <v>103</v>
      </c>
      <c r="C111" s="22" t="n">
        <v>24</v>
      </c>
      <c r="D111" s="22" t="s">
        <v>178</v>
      </c>
      <c r="E111" s="22" t="s">
        <v>179</v>
      </c>
      <c r="F111" s="23" t="n">
        <v>5</v>
      </c>
      <c r="G111" s="23" t="n">
        <v>4.276</v>
      </c>
      <c r="H111" s="20" t="n">
        <v>19.5</v>
      </c>
      <c r="I111" s="22" t="s">
        <v>180</v>
      </c>
      <c r="J111" s="20" t="n">
        <v>31.18</v>
      </c>
      <c r="K111" s="24" t="n">
        <f aca="false">K110+J111</f>
        <v>3321.94</v>
      </c>
      <c r="L111" s="24" t="n">
        <f aca="false">Well_Data!$B$10-K111</f>
        <v>9178.06</v>
      </c>
      <c r="M111" s="24" t="n">
        <f aca="false">Well_Data!$B$10-K111+J111</f>
        <v>9209.24</v>
      </c>
      <c r="N111" s="25" t="n">
        <f aca="false">G111^2/1029.4</f>
        <v>0.0177619739654167</v>
      </c>
      <c r="O111" s="26" t="n">
        <f aca="false">N111*J111</f>
        <v>0.553818348241694</v>
      </c>
      <c r="P111" s="25" t="n">
        <f aca="false">(F111^2-G111^2)/1029.4</f>
        <v>0.00652401787449</v>
      </c>
      <c r="Q111" s="26" t="n">
        <f aca="false">P111*J111</f>
        <v>0.203418877326598</v>
      </c>
    </row>
    <row r="112" customFormat="false" ht="15" hidden="false" customHeight="true" outlineLevel="0" collapsed="false">
      <c r="A112" s="22" t="n">
        <v>111</v>
      </c>
      <c r="B112" s="22" t="n">
        <v>104</v>
      </c>
      <c r="C112" s="22" t="n">
        <v>24</v>
      </c>
      <c r="D112" s="22" t="s">
        <v>178</v>
      </c>
      <c r="E112" s="22" t="s">
        <v>179</v>
      </c>
      <c r="F112" s="23" t="n">
        <v>5</v>
      </c>
      <c r="G112" s="23" t="n">
        <v>4.276</v>
      </c>
      <c r="H112" s="20" t="n">
        <v>19.5</v>
      </c>
      <c r="I112" s="22" t="s">
        <v>180</v>
      </c>
      <c r="J112" s="20" t="n">
        <v>31.19</v>
      </c>
      <c r="K112" s="24" t="n">
        <f aca="false">K111+J112</f>
        <v>3353.13</v>
      </c>
      <c r="L112" s="24" t="n">
        <f aca="false">Well_Data!$B$10-K112</f>
        <v>9146.87</v>
      </c>
      <c r="M112" s="24" t="n">
        <f aca="false">Well_Data!$B$10-K112+J112</f>
        <v>9178.06</v>
      </c>
      <c r="N112" s="25" t="n">
        <f aca="false">G112^2/1029.4</f>
        <v>0.0177619739654167</v>
      </c>
      <c r="O112" s="26" t="n">
        <f aca="false">N112*J112</f>
        <v>0.553995967981348</v>
      </c>
      <c r="P112" s="25" t="n">
        <f aca="false">(F112^2-G112^2)/1029.4</f>
        <v>0.00652401787449</v>
      </c>
      <c r="Q112" s="26" t="n">
        <f aca="false">P112*J112</f>
        <v>0.203484117505343</v>
      </c>
    </row>
    <row r="113" customFormat="false" ht="15" hidden="false" customHeight="true" outlineLevel="0" collapsed="false">
      <c r="A113" s="22" t="n">
        <v>112</v>
      </c>
      <c r="B113" s="22" t="n">
        <v>105</v>
      </c>
      <c r="C113" s="22" t="n">
        <v>24</v>
      </c>
      <c r="D113" s="22" t="s">
        <v>178</v>
      </c>
      <c r="E113" s="22" t="s">
        <v>179</v>
      </c>
      <c r="F113" s="23" t="n">
        <v>5</v>
      </c>
      <c r="G113" s="23" t="n">
        <v>4.276</v>
      </c>
      <c r="H113" s="20" t="n">
        <v>19.5</v>
      </c>
      <c r="I113" s="22" t="s">
        <v>180</v>
      </c>
      <c r="J113" s="20" t="n">
        <v>30.95</v>
      </c>
      <c r="K113" s="24" t="n">
        <f aca="false">K112+J113</f>
        <v>3384.08</v>
      </c>
      <c r="L113" s="24" t="n">
        <f aca="false">Well_Data!$B$10-K113</f>
        <v>9115.92</v>
      </c>
      <c r="M113" s="24" t="n">
        <f aca="false">Well_Data!$B$10-K113+J113</f>
        <v>9146.87</v>
      </c>
      <c r="N113" s="25" t="n">
        <f aca="false">G113^2/1029.4</f>
        <v>0.0177619739654167</v>
      </c>
      <c r="O113" s="26" t="n">
        <f aca="false">N113*J113</f>
        <v>0.549733094229648</v>
      </c>
      <c r="P113" s="25" t="n">
        <f aca="false">(F113^2-G113^2)/1029.4</f>
        <v>0.00652401787449</v>
      </c>
      <c r="Q113" s="26" t="n">
        <f aca="false">P113*J113</f>
        <v>0.201918353215465</v>
      </c>
    </row>
    <row r="114" customFormat="false" ht="15" hidden="false" customHeight="true" outlineLevel="0" collapsed="false">
      <c r="A114" s="22" t="n">
        <v>113</v>
      </c>
      <c r="B114" s="22" t="n">
        <v>106</v>
      </c>
      <c r="C114" s="22" t="n">
        <v>25</v>
      </c>
      <c r="D114" s="22" t="s">
        <v>178</v>
      </c>
      <c r="E114" s="22" t="s">
        <v>179</v>
      </c>
      <c r="F114" s="23" t="n">
        <v>5</v>
      </c>
      <c r="G114" s="23" t="n">
        <v>4.276</v>
      </c>
      <c r="H114" s="20" t="n">
        <v>19.5</v>
      </c>
      <c r="I114" s="22" t="s">
        <v>180</v>
      </c>
      <c r="J114" s="20" t="n">
        <v>31.76</v>
      </c>
      <c r="K114" s="24" t="n">
        <f aca="false">K113+J114</f>
        <v>3415.84</v>
      </c>
      <c r="L114" s="24" t="n">
        <f aca="false">Well_Data!$B$10-K114</f>
        <v>9084.16</v>
      </c>
      <c r="M114" s="24" t="n">
        <f aca="false">Well_Data!$B$10-K114+J114</f>
        <v>9115.92</v>
      </c>
      <c r="N114" s="25" t="n">
        <f aca="false">G114^2/1029.4</f>
        <v>0.0177619739654167</v>
      </c>
      <c r="O114" s="26" t="n">
        <f aca="false">N114*J114</f>
        <v>0.564120293141636</v>
      </c>
      <c r="P114" s="25" t="n">
        <f aca="false">(F114^2-G114^2)/1029.4</f>
        <v>0.00652401787449</v>
      </c>
      <c r="Q114" s="26" t="n">
        <f aca="false">P114*J114</f>
        <v>0.207202807693802</v>
      </c>
    </row>
    <row r="115" customFormat="false" ht="15" hidden="false" customHeight="true" outlineLevel="0" collapsed="false">
      <c r="A115" s="22" t="n">
        <v>114</v>
      </c>
      <c r="B115" s="22" t="n">
        <v>107</v>
      </c>
      <c r="C115" s="22" t="n">
        <v>25</v>
      </c>
      <c r="D115" s="22" t="s">
        <v>178</v>
      </c>
      <c r="E115" s="22" t="s">
        <v>179</v>
      </c>
      <c r="F115" s="23" t="n">
        <v>5</v>
      </c>
      <c r="G115" s="23" t="n">
        <v>4.276</v>
      </c>
      <c r="H115" s="20" t="n">
        <v>19.5</v>
      </c>
      <c r="I115" s="22" t="s">
        <v>180</v>
      </c>
      <c r="J115" s="20" t="n">
        <v>31.32</v>
      </c>
      <c r="K115" s="24" t="n">
        <f aca="false">K114+J115</f>
        <v>3447.16</v>
      </c>
      <c r="L115" s="24" t="n">
        <f aca="false">Well_Data!$B$10-K115</f>
        <v>9052.84</v>
      </c>
      <c r="M115" s="24" t="n">
        <f aca="false">Well_Data!$B$10-K115+J115</f>
        <v>9084.16</v>
      </c>
      <c r="N115" s="25" t="n">
        <f aca="false">G115^2/1029.4</f>
        <v>0.0177619739654167</v>
      </c>
      <c r="O115" s="26" t="n">
        <f aca="false">N115*J115</f>
        <v>0.556305024596852</v>
      </c>
      <c r="P115" s="25" t="n">
        <f aca="false">(F115^2-G115^2)/1029.4</f>
        <v>0.00652401787449</v>
      </c>
      <c r="Q115" s="26" t="n">
        <f aca="false">P115*J115</f>
        <v>0.204332239829027</v>
      </c>
    </row>
    <row r="116" customFormat="false" ht="15" hidden="false" customHeight="true" outlineLevel="0" collapsed="false">
      <c r="A116" s="22" t="n">
        <v>115</v>
      </c>
      <c r="B116" s="22" t="n">
        <v>108</v>
      </c>
      <c r="C116" s="22" t="n">
        <v>25</v>
      </c>
      <c r="D116" s="22" t="s">
        <v>178</v>
      </c>
      <c r="E116" s="22" t="s">
        <v>179</v>
      </c>
      <c r="F116" s="23" t="n">
        <v>5</v>
      </c>
      <c r="G116" s="23" t="n">
        <v>4.276</v>
      </c>
      <c r="H116" s="20" t="n">
        <v>19.5</v>
      </c>
      <c r="I116" s="22" t="s">
        <v>180</v>
      </c>
      <c r="J116" s="20" t="n">
        <v>31.17</v>
      </c>
      <c r="K116" s="24" t="n">
        <f aca="false">K115+J116</f>
        <v>3478.33</v>
      </c>
      <c r="L116" s="24" t="n">
        <f aca="false">Well_Data!$B$10-K116</f>
        <v>9021.67</v>
      </c>
      <c r="M116" s="24" t="n">
        <f aca="false">Well_Data!$B$10-K116+J116</f>
        <v>9052.84</v>
      </c>
      <c r="N116" s="25" t="n">
        <f aca="false">G116^2/1029.4</f>
        <v>0.0177619739654167</v>
      </c>
      <c r="O116" s="26" t="n">
        <f aca="false">N116*J116</f>
        <v>0.55364072850204</v>
      </c>
      <c r="P116" s="25" t="n">
        <f aca="false">(F116^2-G116^2)/1029.4</f>
        <v>0.00652401787449</v>
      </c>
      <c r="Q116" s="26" t="n">
        <f aca="false">P116*J116</f>
        <v>0.203353637147853</v>
      </c>
    </row>
    <row r="117" customFormat="false" ht="15" hidden="false" customHeight="true" outlineLevel="0" collapsed="false">
      <c r="A117" s="22" t="n">
        <v>116</v>
      </c>
      <c r="B117" s="22" t="n">
        <v>109</v>
      </c>
      <c r="C117" s="22" t="n">
        <v>26</v>
      </c>
      <c r="D117" s="22" t="s">
        <v>178</v>
      </c>
      <c r="E117" s="22" t="s">
        <v>179</v>
      </c>
      <c r="F117" s="23" t="n">
        <v>5</v>
      </c>
      <c r="G117" s="23" t="n">
        <v>4.276</v>
      </c>
      <c r="H117" s="20" t="n">
        <v>19.5</v>
      </c>
      <c r="I117" s="22" t="s">
        <v>180</v>
      </c>
      <c r="J117" s="20" t="n">
        <v>31.15</v>
      </c>
      <c r="K117" s="24" t="n">
        <f aca="false">K116+J117</f>
        <v>3509.48</v>
      </c>
      <c r="L117" s="24" t="n">
        <f aca="false">Well_Data!$B$10-K117</f>
        <v>8990.52</v>
      </c>
      <c r="M117" s="24" t="n">
        <f aca="false">Well_Data!$B$10-K117+J117</f>
        <v>9021.67</v>
      </c>
      <c r="N117" s="25" t="n">
        <f aca="false">G117^2/1029.4</f>
        <v>0.0177619739654167</v>
      </c>
      <c r="O117" s="26" t="n">
        <f aca="false">N117*J117</f>
        <v>0.553285489022732</v>
      </c>
      <c r="P117" s="25" t="n">
        <f aca="false">(F117^2-G117^2)/1029.4</f>
        <v>0.00652401787449</v>
      </c>
      <c r="Q117" s="26" t="n">
        <f aca="false">P117*J117</f>
        <v>0.203223156790363</v>
      </c>
    </row>
    <row r="118" customFormat="false" ht="15" hidden="false" customHeight="true" outlineLevel="0" collapsed="false">
      <c r="A118" s="22" t="n">
        <v>117</v>
      </c>
      <c r="B118" s="22" t="n">
        <v>110</v>
      </c>
      <c r="C118" s="22" t="n">
        <v>26</v>
      </c>
      <c r="D118" s="22" t="s">
        <v>178</v>
      </c>
      <c r="E118" s="22" t="s">
        <v>179</v>
      </c>
      <c r="F118" s="23" t="n">
        <v>5</v>
      </c>
      <c r="G118" s="23" t="n">
        <v>4.276</v>
      </c>
      <c r="H118" s="20" t="n">
        <v>19.5</v>
      </c>
      <c r="I118" s="22" t="s">
        <v>180</v>
      </c>
      <c r="J118" s="20" t="n">
        <v>30.72</v>
      </c>
      <c r="K118" s="24" t="n">
        <f aca="false">K117+J118</f>
        <v>3540.2</v>
      </c>
      <c r="L118" s="24" t="n">
        <f aca="false">Well_Data!$B$10-K118</f>
        <v>8959.8</v>
      </c>
      <c r="M118" s="24" t="n">
        <f aca="false">Well_Data!$B$10-K118+J118</f>
        <v>8990.52</v>
      </c>
      <c r="N118" s="25" t="n">
        <f aca="false">G118^2/1029.4</f>
        <v>0.0177619739654167</v>
      </c>
      <c r="O118" s="26" t="n">
        <f aca="false">N118*J118</f>
        <v>0.545647840217602</v>
      </c>
      <c r="P118" s="25" t="n">
        <f aca="false">(F118^2-G118^2)/1029.4</f>
        <v>0.00652401787449</v>
      </c>
      <c r="Q118" s="26" t="n">
        <f aca="false">P118*J118</f>
        <v>0.200417829104333</v>
      </c>
    </row>
    <row r="119" customFormat="false" ht="15" hidden="false" customHeight="true" outlineLevel="0" collapsed="false">
      <c r="A119" s="22" t="n">
        <v>118</v>
      </c>
      <c r="B119" s="22" t="n">
        <v>111</v>
      </c>
      <c r="C119" s="22" t="n">
        <v>26</v>
      </c>
      <c r="D119" s="22" t="s">
        <v>178</v>
      </c>
      <c r="E119" s="22" t="s">
        <v>179</v>
      </c>
      <c r="F119" s="23" t="n">
        <v>5</v>
      </c>
      <c r="G119" s="23" t="n">
        <v>4.276</v>
      </c>
      <c r="H119" s="20" t="n">
        <v>19.5</v>
      </c>
      <c r="I119" s="22" t="s">
        <v>180</v>
      </c>
      <c r="J119" s="20" t="n">
        <v>31.62</v>
      </c>
      <c r="K119" s="24" t="n">
        <f aca="false">K118+J119</f>
        <v>3571.82</v>
      </c>
      <c r="L119" s="24" t="n">
        <f aca="false">Well_Data!$B$10-K119</f>
        <v>8928.18</v>
      </c>
      <c r="M119" s="24" t="n">
        <f aca="false">Well_Data!$B$10-K119+J119</f>
        <v>8959.8</v>
      </c>
      <c r="N119" s="25" t="n">
        <f aca="false">G119^2/1029.4</f>
        <v>0.0177619739654167</v>
      </c>
      <c r="O119" s="26" t="n">
        <f aca="false">N119*J119</f>
        <v>0.561633616786478</v>
      </c>
      <c r="P119" s="25" t="n">
        <f aca="false">(F119^2-G119^2)/1029.4</f>
        <v>0.00652401787449</v>
      </c>
      <c r="Q119" s="26" t="n">
        <f aca="false">P119*J119</f>
        <v>0.206289445191374</v>
      </c>
    </row>
    <row r="120" customFormat="false" ht="15" hidden="false" customHeight="true" outlineLevel="0" collapsed="false">
      <c r="A120" s="22" t="n">
        <v>119</v>
      </c>
      <c r="B120" s="22" t="n">
        <v>112</v>
      </c>
      <c r="C120" s="22" t="n">
        <v>27</v>
      </c>
      <c r="D120" s="22" t="s">
        <v>178</v>
      </c>
      <c r="E120" s="22" t="s">
        <v>179</v>
      </c>
      <c r="F120" s="23" t="n">
        <v>5</v>
      </c>
      <c r="G120" s="23" t="n">
        <v>4.276</v>
      </c>
      <c r="H120" s="20" t="n">
        <v>19.5</v>
      </c>
      <c r="I120" s="22" t="s">
        <v>180</v>
      </c>
      <c r="J120" s="20" t="n">
        <v>30.93</v>
      </c>
      <c r="K120" s="24" t="n">
        <f aca="false">K119+J120</f>
        <v>3602.75</v>
      </c>
      <c r="L120" s="24" t="n">
        <f aca="false">Well_Data!$B$10-K120</f>
        <v>8897.25</v>
      </c>
      <c r="M120" s="24" t="n">
        <f aca="false">Well_Data!$B$10-K120+J120</f>
        <v>8928.18</v>
      </c>
      <c r="N120" s="25" t="n">
        <f aca="false">G120^2/1029.4</f>
        <v>0.0177619739654167</v>
      </c>
      <c r="O120" s="26" t="n">
        <f aca="false">N120*J120</f>
        <v>0.54937785475034</v>
      </c>
      <c r="P120" s="25" t="n">
        <f aca="false">(F120^2-G120^2)/1029.4</f>
        <v>0.00652401787449</v>
      </c>
      <c r="Q120" s="26" t="n">
        <f aca="false">P120*J120</f>
        <v>0.201787872857976</v>
      </c>
    </row>
    <row r="121" customFormat="false" ht="15" hidden="false" customHeight="true" outlineLevel="0" collapsed="false">
      <c r="A121" s="22" t="n">
        <v>120</v>
      </c>
      <c r="B121" s="22" t="n">
        <v>113</v>
      </c>
      <c r="C121" s="22" t="n">
        <v>27</v>
      </c>
      <c r="D121" s="22" t="s">
        <v>178</v>
      </c>
      <c r="E121" s="22" t="s">
        <v>179</v>
      </c>
      <c r="F121" s="23" t="n">
        <v>5</v>
      </c>
      <c r="G121" s="23" t="n">
        <v>4.276</v>
      </c>
      <c r="H121" s="20" t="n">
        <v>19.5</v>
      </c>
      <c r="I121" s="22" t="s">
        <v>180</v>
      </c>
      <c r="J121" s="20" t="n">
        <v>31.37</v>
      </c>
      <c r="K121" s="24" t="n">
        <f aca="false">K120+J121</f>
        <v>3634.12</v>
      </c>
      <c r="L121" s="24" t="n">
        <f aca="false">Well_Data!$B$10-K121</f>
        <v>8865.88</v>
      </c>
      <c r="M121" s="24" t="n">
        <f aca="false">Well_Data!$B$10-K121+J121</f>
        <v>8897.25</v>
      </c>
      <c r="N121" s="25" t="n">
        <f aca="false">G121^2/1029.4</f>
        <v>0.0177619739654167</v>
      </c>
      <c r="O121" s="26" t="n">
        <f aca="false">N121*J121</f>
        <v>0.557193123295123</v>
      </c>
      <c r="P121" s="25" t="n">
        <f aca="false">(F121^2-G121^2)/1029.4</f>
        <v>0.00652401787449</v>
      </c>
      <c r="Q121" s="26" t="n">
        <f aca="false">P121*J121</f>
        <v>0.204658440722751</v>
      </c>
    </row>
    <row r="122" customFormat="false" ht="15" hidden="false" customHeight="true" outlineLevel="0" collapsed="false">
      <c r="A122" s="22" t="n">
        <v>121</v>
      </c>
      <c r="B122" s="22" t="n">
        <v>114</v>
      </c>
      <c r="C122" s="22" t="n">
        <v>27</v>
      </c>
      <c r="D122" s="22" t="s">
        <v>178</v>
      </c>
      <c r="E122" s="22" t="s">
        <v>179</v>
      </c>
      <c r="F122" s="23" t="n">
        <v>5</v>
      </c>
      <c r="G122" s="23" t="n">
        <v>4.276</v>
      </c>
      <c r="H122" s="20" t="n">
        <v>19.5</v>
      </c>
      <c r="I122" s="22" t="s">
        <v>180</v>
      </c>
      <c r="J122" s="20" t="n">
        <v>31.47</v>
      </c>
      <c r="K122" s="24" t="n">
        <f aca="false">K121+J122</f>
        <v>3665.59</v>
      </c>
      <c r="L122" s="24" t="n">
        <f aca="false">Well_Data!$B$10-K122</f>
        <v>8834.41</v>
      </c>
      <c r="M122" s="24" t="n">
        <f aca="false">Well_Data!$B$10-K122+J122</f>
        <v>8865.88</v>
      </c>
      <c r="N122" s="25" t="n">
        <f aca="false">G122^2/1029.4</f>
        <v>0.0177619739654167</v>
      </c>
      <c r="O122" s="26" t="n">
        <f aca="false">N122*J122</f>
        <v>0.558969320691665</v>
      </c>
      <c r="P122" s="25" t="n">
        <f aca="false">(F122^2-G122^2)/1029.4</f>
        <v>0.00652401787449</v>
      </c>
      <c r="Q122" s="26" t="n">
        <f aca="false">P122*J122</f>
        <v>0.2053108425102</v>
      </c>
    </row>
    <row r="123" customFormat="false" ht="15" hidden="false" customHeight="true" outlineLevel="0" collapsed="false">
      <c r="A123" s="22" t="n">
        <v>122</v>
      </c>
      <c r="B123" s="22" t="n">
        <v>115</v>
      </c>
      <c r="C123" s="22" t="n">
        <v>28</v>
      </c>
      <c r="D123" s="22" t="s">
        <v>178</v>
      </c>
      <c r="E123" s="22" t="s">
        <v>179</v>
      </c>
      <c r="F123" s="23" t="n">
        <v>5</v>
      </c>
      <c r="G123" s="23" t="n">
        <v>4.276</v>
      </c>
      <c r="H123" s="20" t="n">
        <v>19.5</v>
      </c>
      <c r="I123" s="22" t="s">
        <v>180</v>
      </c>
      <c r="J123" s="20" t="n">
        <v>31.25</v>
      </c>
      <c r="K123" s="24" t="n">
        <f aca="false">K122+J123</f>
        <v>3696.84</v>
      </c>
      <c r="L123" s="24" t="n">
        <f aca="false">Well_Data!$B$10-K123</f>
        <v>8803.16</v>
      </c>
      <c r="M123" s="24" t="n">
        <f aca="false">Well_Data!$B$10-K123+J123</f>
        <v>8834.41</v>
      </c>
      <c r="N123" s="25" t="n">
        <f aca="false">G123^2/1029.4</f>
        <v>0.0177619739654167</v>
      </c>
      <c r="O123" s="26" t="n">
        <f aca="false">N123*J123</f>
        <v>0.555061686419273</v>
      </c>
      <c r="P123" s="25" t="n">
        <f aca="false">(F123^2-G123^2)/1029.4</f>
        <v>0.00652401787449</v>
      </c>
      <c r="Q123" s="26" t="n">
        <f aca="false">P123*J123</f>
        <v>0.203875558577812</v>
      </c>
    </row>
    <row r="124" customFormat="false" ht="15" hidden="false" customHeight="true" outlineLevel="0" collapsed="false">
      <c r="A124" s="22" t="n">
        <v>123</v>
      </c>
      <c r="B124" s="22" t="n">
        <v>116</v>
      </c>
      <c r="C124" s="22" t="n">
        <v>28</v>
      </c>
      <c r="D124" s="22" t="s">
        <v>178</v>
      </c>
      <c r="E124" s="22" t="s">
        <v>179</v>
      </c>
      <c r="F124" s="23" t="n">
        <v>5</v>
      </c>
      <c r="G124" s="23" t="n">
        <v>4.276</v>
      </c>
      <c r="H124" s="20" t="n">
        <v>19.5</v>
      </c>
      <c r="I124" s="22" t="s">
        <v>180</v>
      </c>
      <c r="J124" s="20" t="n">
        <v>30.92</v>
      </c>
      <c r="K124" s="24" t="n">
        <f aca="false">K123+J124</f>
        <v>3727.76</v>
      </c>
      <c r="L124" s="24" t="n">
        <f aca="false">Well_Data!$B$10-K124</f>
        <v>8772.24</v>
      </c>
      <c r="M124" s="24" t="n">
        <f aca="false">Well_Data!$B$10-K124+J124</f>
        <v>8803.16</v>
      </c>
      <c r="N124" s="25" t="n">
        <f aca="false">G124^2/1029.4</f>
        <v>0.0177619739654167</v>
      </c>
      <c r="O124" s="26" t="n">
        <f aca="false">N124*J124</f>
        <v>0.549200235010686</v>
      </c>
      <c r="P124" s="25" t="n">
        <f aca="false">(F124^2-G124^2)/1029.4</f>
        <v>0.00652401787449</v>
      </c>
      <c r="Q124" s="26" t="n">
        <f aca="false">P124*J124</f>
        <v>0.201722632679231</v>
      </c>
    </row>
    <row r="125" customFormat="false" ht="15" hidden="false" customHeight="true" outlineLevel="0" collapsed="false">
      <c r="A125" s="22" t="n">
        <v>124</v>
      </c>
      <c r="B125" s="22" t="n">
        <v>117</v>
      </c>
      <c r="C125" s="22" t="n">
        <v>28</v>
      </c>
      <c r="D125" s="22" t="s">
        <v>178</v>
      </c>
      <c r="E125" s="22" t="s">
        <v>179</v>
      </c>
      <c r="F125" s="23" t="n">
        <v>5</v>
      </c>
      <c r="G125" s="23" t="n">
        <v>4.276</v>
      </c>
      <c r="H125" s="20" t="n">
        <v>19.5</v>
      </c>
      <c r="I125" s="22" t="s">
        <v>180</v>
      </c>
      <c r="J125" s="20" t="n">
        <v>30.94</v>
      </c>
      <c r="K125" s="24" t="n">
        <f aca="false">K124+J125</f>
        <v>3758.7</v>
      </c>
      <c r="L125" s="24" t="n">
        <f aca="false">Well_Data!$B$10-K125</f>
        <v>8741.3</v>
      </c>
      <c r="M125" s="24" t="n">
        <f aca="false">Well_Data!$B$10-K125+J125</f>
        <v>8772.24</v>
      </c>
      <c r="N125" s="25" t="n">
        <f aca="false">G125^2/1029.4</f>
        <v>0.0177619739654167</v>
      </c>
      <c r="O125" s="26" t="n">
        <f aca="false">N125*J125</f>
        <v>0.549555474489994</v>
      </c>
      <c r="P125" s="25" t="n">
        <f aca="false">(F125^2-G125^2)/1029.4</f>
        <v>0.00652401787449</v>
      </c>
      <c r="Q125" s="26" t="n">
        <f aca="false">P125*J125</f>
        <v>0.20185311303672</v>
      </c>
    </row>
    <row r="126" customFormat="false" ht="15" hidden="false" customHeight="true" outlineLevel="0" collapsed="false">
      <c r="A126" s="22" t="n">
        <v>125</v>
      </c>
      <c r="B126" s="22" t="n">
        <v>118</v>
      </c>
      <c r="C126" s="22" t="n">
        <v>29</v>
      </c>
      <c r="D126" s="22" t="s">
        <v>178</v>
      </c>
      <c r="E126" s="22" t="s">
        <v>179</v>
      </c>
      <c r="F126" s="23" t="n">
        <v>5</v>
      </c>
      <c r="G126" s="23" t="n">
        <v>4.276</v>
      </c>
      <c r="H126" s="20" t="n">
        <v>19.5</v>
      </c>
      <c r="I126" s="22" t="s">
        <v>180</v>
      </c>
      <c r="J126" s="20" t="n">
        <v>30.94</v>
      </c>
      <c r="K126" s="24" t="n">
        <f aca="false">K125+J126</f>
        <v>3789.64</v>
      </c>
      <c r="L126" s="24" t="n">
        <f aca="false">Well_Data!$B$10-K126</f>
        <v>8710.36</v>
      </c>
      <c r="M126" s="24" t="n">
        <f aca="false">Well_Data!$B$10-K126+J126</f>
        <v>8741.3</v>
      </c>
      <c r="N126" s="25" t="n">
        <f aca="false">G126^2/1029.4</f>
        <v>0.0177619739654167</v>
      </c>
      <c r="O126" s="26" t="n">
        <f aca="false">N126*J126</f>
        <v>0.549555474489994</v>
      </c>
      <c r="P126" s="25" t="n">
        <f aca="false">(F126^2-G126^2)/1029.4</f>
        <v>0.00652401787449</v>
      </c>
      <c r="Q126" s="26" t="n">
        <f aca="false">P126*J126</f>
        <v>0.20185311303672</v>
      </c>
    </row>
    <row r="127" customFormat="false" ht="15" hidden="false" customHeight="true" outlineLevel="0" collapsed="false">
      <c r="A127" s="22" t="n">
        <v>126</v>
      </c>
      <c r="B127" s="22" t="n">
        <v>119</v>
      </c>
      <c r="C127" s="22" t="n">
        <v>29</v>
      </c>
      <c r="D127" s="22" t="s">
        <v>178</v>
      </c>
      <c r="E127" s="22" t="s">
        <v>179</v>
      </c>
      <c r="F127" s="23" t="n">
        <v>5</v>
      </c>
      <c r="G127" s="23" t="n">
        <v>4.276</v>
      </c>
      <c r="H127" s="20" t="n">
        <v>19.5</v>
      </c>
      <c r="I127" s="22" t="s">
        <v>180</v>
      </c>
      <c r="J127" s="20" t="n">
        <v>30.92</v>
      </c>
      <c r="K127" s="24" t="n">
        <f aca="false">K126+J127</f>
        <v>3820.56</v>
      </c>
      <c r="L127" s="24" t="n">
        <f aca="false">Well_Data!$B$10-K127</f>
        <v>8679.44</v>
      </c>
      <c r="M127" s="24" t="n">
        <f aca="false">Well_Data!$B$10-K127+J127</f>
        <v>8710.36</v>
      </c>
      <c r="N127" s="25" t="n">
        <f aca="false">G127^2/1029.4</f>
        <v>0.0177619739654167</v>
      </c>
      <c r="O127" s="26" t="n">
        <f aca="false">N127*J127</f>
        <v>0.549200235010686</v>
      </c>
      <c r="P127" s="25" t="n">
        <f aca="false">(F127^2-G127^2)/1029.4</f>
        <v>0.00652401787449</v>
      </c>
      <c r="Q127" s="26" t="n">
        <f aca="false">P127*J127</f>
        <v>0.201722632679231</v>
      </c>
    </row>
    <row r="128" customFormat="false" ht="15" hidden="false" customHeight="true" outlineLevel="0" collapsed="false">
      <c r="A128" s="22" t="n">
        <v>127</v>
      </c>
      <c r="B128" s="22" t="n">
        <v>120</v>
      </c>
      <c r="C128" s="22" t="n">
        <v>29</v>
      </c>
      <c r="D128" s="22" t="s">
        <v>178</v>
      </c>
      <c r="E128" s="22" t="s">
        <v>179</v>
      </c>
      <c r="F128" s="23" t="n">
        <v>5</v>
      </c>
      <c r="G128" s="23" t="n">
        <v>4.276</v>
      </c>
      <c r="H128" s="20" t="n">
        <v>19.5</v>
      </c>
      <c r="I128" s="22" t="s">
        <v>180</v>
      </c>
      <c r="J128" s="20" t="n">
        <v>31.2</v>
      </c>
      <c r="K128" s="24" t="n">
        <f aca="false">K127+J128</f>
        <v>3851.76</v>
      </c>
      <c r="L128" s="24" t="n">
        <f aca="false">Well_Data!$B$10-K128</f>
        <v>8648.24</v>
      </c>
      <c r="M128" s="24" t="n">
        <f aca="false">Well_Data!$B$10-K128+J128</f>
        <v>8679.44</v>
      </c>
      <c r="N128" s="25" t="n">
        <f aca="false">G128^2/1029.4</f>
        <v>0.0177619739654167</v>
      </c>
      <c r="O128" s="26" t="n">
        <f aca="false">N128*J128</f>
        <v>0.554173587721002</v>
      </c>
      <c r="P128" s="25" t="n">
        <f aca="false">(F128^2-G128^2)/1029.4</f>
        <v>0.00652401787449</v>
      </c>
      <c r="Q128" s="26" t="n">
        <f aca="false">P128*J128</f>
        <v>0.203549357684088</v>
      </c>
    </row>
    <row r="129" customFormat="false" ht="15" hidden="false" customHeight="true" outlineLevel="0" collapsed="false">
      <c r="A129" s="22" t="n">
        <v>128</v>
      </c>
      <c r="B129" s="22" t="n">
        <v>121</v>
      </c>
      <c r="C129" s="22" t="n">
        <v>30</v>
      </c>
      <c r="D129" s="22" t="s">
        <v>178</v>
      </c>
      <c r="E129" s="22" t="s">
        <v>179</v>
      </c>
      <c r="F129" s="23" t="n">
        <v>5</v>
      </c>
      <c r="G129" s="23" t="n">
        <v>4.276</v>
      </c>
      <c r="H129" s="20" t="n">
        <v>19.5</v>
      </c>
      <c r="I129" s="22" t="s">
        <v>180</v>
      </c>
      <c r="J129" s="20" t="n">
        <v>30.79</v>
      </c>
      <c r="K129" s="24" t="n">
        <f aca="false">K128+J129</f>
        <v>3882.55</v>
      </c>
      <c r="L129" s="24" t="n">
        <f aca="false">Well_Data!$B$10-K129</f>
        <v>8617.45</v>
      </c>
      <c r="M129" s="24" t="n">
        <f aca="false">Well_Data!$B$10-K129+J129</f>
        <v>8648.24</v>
      </c>
      <c r="N129" s="25" t="n">
        <f aca="false">G129^2/1029.4</f>
        <v>0.0177619739654167</v>
      </c>
      <c r="O129" s="26" t="n">
        <f aca="false">N129*J129</f>
        <v>0.546891178395182</v>
      </c>
      <c r="P129" s="25" t="n">
        <f aca="false">(F129^2-G129^2)/1029.4</f>
        <v>0.00652401787449</v>
      </c>
      <c r="Q129" s="26" t="n">
        <f aca="false">P129*J129</f>
        <v>0.200874510355547</v>
      </c>
    </row>
    <row r="130" customFormat="false" ht="15" hidden="false" customHeight="true" outlineLevel="0" collapsed="false">
      <c r="A130" s="22" t="n">
        <v>129</v>
      </c>
      <c r="B130" s="22" t="n">
        <v>122</v>
      </c>
      <c r="C130" s="22" t="n">
        <v>30</v>
      </c>
      <c r="D130" s="22" t="s">
        <v>178</v>
      </c>
      <c r="E130" s="22" t="s">
        <v>179</v>
      </c>
      <c r="F130" s="23" t="n">
        <v>5</v>
      </c>
      <c r="G130" s="23" t="n">
        <v>4.276</v>
      </c>
      <c r="H130" s="20" t="n">
        <v>19.5</v>
      </c>
      <c r="I130" s="22" t="s">
        <v>180</v>
      </c>
      <c r="J130" s="20" t="n">
        <v>30.89</v>
      </c>
      <c r="K130" s="24" t="n">
        <f aca="false">K129+J130</f>
        <v>3913.44</v>
      </c>
      <c r="L130" s="24" t="n">
        <f aca="false">Well_Data!$B$10-K130</f>
        <v>8586.56</v>
      </c>
      <c r="M130" s="24" t="n">
        <f aca="false">Well_Data!$B$10-K130+J130</f>
        <v>8617.45</v>
      </c>
      <c r="N130" s="25" t="n">
        <f aca="false">G130^2/1029.4</f>
        <v>0.0177619739654167</v>
      </c>
      <c r="O130" s="26" t="n">
        <f aca="false">N130*J130</f>
        <v>0.548667375791723</v>
      </c>
      <c r="P130" s="25" t="n">
        <f aca="false">(F130^2-G130^2)/1029.4</f>
        <v>0.00652401787449</v>
      </c>
      <c r="Q130" s="26" t="n">
        <f aca="false">P130*J130</f>
        <v>0.201526912142996</v>
      </c>
    </row>
    <row r="131" customFormat="false" ht="15" hidden="false" customHeight="true" outlineLevel="0" collapsed="false">
      <c r="A131" s="22" t="n">
        <v>130</v>
      </c>
      <c r="B131" s="22" t="n">
        <v>123</v>
      </c>
      <c r="C131" s="22" t="n">
        <v>30</v>
      </c>
      <c r="D131" s="22" t="s">
        <v>178</v>
      </c>
      <c r="E131" s="22" t="s">
        <v>179</v>
      </c>
      <c r="F131" s="23" t="n">
        <v>5</v>
      </c>
      <c r="G131" s="23" t="n">
        <v>4.276</v>
      </c>
      <c r="H131" s="20" t="n">
        <v>19.5</v>
      </c>
      <c r="I131" s="22" t="s">
        <v>180</v>
      </c>
      <c r="J131" s="20" t="n">
        <v>31.34</v>
      </c>
      <c r="K131" s="24" t="n">
        <f aca="false">K130+J131</f>
        <v>3944.78</v>
      </c>
      <c r="L131" s="24" t="n">
        <f aca="false">Well_Data!$B$10-K131</f>
        <v>8555.22</v>
      </c>
      <c r="M131" s="24" t="n">
        <f aca="false">Well_Data!$B$10-K131+J131</f>
        <v>8586.56</v>
      </c>
      <c r="N131" s="25" t="n">
        <f aca="false">G131^2/1029.4</f>
        <v>0.0177619739654167</v>
      </c>
      <c r="O131" s="26" t="n">
        <f aca="false">N131*J131</f>
        <v>0.556660264076161</v>
      </c>
      <c r="P131" s="25" t="n">
        <f aca="false">(F131^2-G131^2)/1029.4</f>
        <v>0.00652401787449</v>
      </c>
      <c r="Q131" s="26" t="n">
        <f aca="false">P131*J131</f>
        <v>0.204462720186516</v>
      </c>
    </row>
    <row r="132" customFormat="false" ht="15" hidden="false" customHeight="true" outlineLevel="0" collapsed="false">
      <c r="A132" s="22" t="n">
        <v>131</v>
      </c>
      <c r="B132" s="22" t="n">
        <v>124</v>
      </c>
      <c r="C132" s="22" t="n">
        <v>31</v>
      </c>
      <c r="D132" s="22" t="s">
        <v>178</v>
      </c>
      <c r="E132" s="22" t="s">
        <v>179</v>
      </c>
      <c r="F132" s="23" t="n">
        <v>5</v>
      </c>
      <c r="G132" s="23" t="n">
        <v>4.276</v>
      </c>
      <c r="H132" s="20" t="n">
        <v>19.5</v>
      </c>
      <c r="I132" s="22" t="s">
        <v>180</v>
      </c>
      <c r="J132" s="20" t="n">
        <v>31.6</v>
      </c>
      <c r="K132" s="24" t="n">
        <f aca="false">K131+J132</f>
        <v>3976.38</v>
      </c>
      <c r="L132" s="24" t="n">
        <f aca="false">Well_Data!$B$10-K132</f>
        <v>8523.62</v>
      </c>
      <c r="M132" s="24" t="n">
        <f aca="false">Well_Data!$B$10-K132+J132</f>
        <v>8555.22</v>
      </c>
      <c r="N132" s="25" t="n">
        <f aca="false">G132^2/1029.4</f>
        <v>0.0177619739654167</v>
      </c>
      <c r="O132" s="26" t="n">
        <f aca="false">N132*J132</f>
        <v>0.561278377307169</v>
      </c>
      <c r="P132" s="25" t="n">
        <f aca="false">(F132^2-G132^2)/1029.4</f>
        <v>0.00652401787449</v>
      </c>
      <c r="Q132" s="26" t="n">
        <f aca="false">P132*J132</f>
        <v>0.206158964833884</v>
      </c>
    </row>
    <row r="133" customFormat="false" ht="15" hidden="false" customHeight="true" outlineLevel="0" collapsed="false">
      <c r="A133" s="22" t="n">
        <v>132</v>
      </c>
      <c r="B133" s="22" t="n">
        <v>125</v>
      </c>
      <c r="C133" s="22" t="n">
        <v>31</v>
      </c>
      <c r="D133" s="22" t="s">
        <v>178</v>
      </c>
      <c r="E133" s="22" t="s">
        <v>179</v>
      </c>
      <c r="F133" s="23" t="n">
        <v>5</v>
      </c>
      <c r="G133" s="23" t="n">
        <v>4.276</v>
      </c>
      <c r="H133" s="20" t="n">
        <v>19.5</v>
      </c>
      <c r="I133" s="22" t="s">
        <v>180</v>
      </c>
      <c r="J133" s="20" t="n">
        <v>31.04</v>
      </c>
      <c r="K133" s="24" t="n">
        <f aca="false">K132+J133</f>
        <v>4007.42</v>
      </c>
      <c r="L133" s="24" t="n">
        <f aca="false">Well_Data!$B$10-K133</f>
        <v>8492.58</v>
      </c>
      <c r="M133" s="24" t="n">
        <f aca="false">Well_Data!$B$10-K133+J133</f>
        <v>8523.62</v>
      </c>
      <c r="N133" s="25" t="n">
        <f aca="false">G133^2/1029.4</f>
        <v>0.0177619739654167</v>
      </c>
      <c r="O133" s="26" t="n">
        <f aca="false">N133*J133</f>
        <v>0.551331671886536</v>
      </c>
      <c r="P133" s="25" t="n">
        <f aca="false">(F133^2-G133^2)/1029.4</f>
        <v>0.00652401787449</v>
      </c>
      <c r="Q133" s="26" t="n">
        <f aca="false">P133*J133</f>
        <v>0.202505514824169</v>
      </c>
    </row>
    <row r="134" customFormat="false" ht="15" hidden="false" customHeight="true" outlineLevel="0" collapsed="false">
      <c r="A134" s="22" t="n">
        <v>133</v>
      </c>
      <c r="B134" s="22" t="n">
        <v>126</v>
      </c>
      <c r="C134" s="22" t="n">
        <v>31</v>
      </c>
      <c r="D134" s="22" t="s">
        <v>178</v>
      </c>
      <c r="E134" s="22" t="s">
        <v>179</v>
      </c>
      <c r="F134" s="23" t="n">
        <v>5</v>
      </c>
      <c r="G134" s="23" t="n">
        <v>4.276</v>
      </c>
      <c r="H134" s="20" t="n">
        <v>19.5</v>
      </c>
      <c r="I134" s="22" t="s">
        <v>180</v>
      </c>
      <c r="J134" s="20" t="n">
        <v>31.26</v>
      </c>
      <c r="K134" s="24" t="n">
        <f aca="false">K133+J134</f>
        <v>4038.68</v>
      </c>
      <c r="L134" s="24" t="n">
        <f aca="false">Well_Data!$B$10-K134</f>
        <v>8461.32</v>
      </c>
      <c r="M134" s="24" t="n">
        <f aca="false">Well_Data!$B$10-K134+J134</f>
        <v>8492.58</v>
      </c>
      <c r="N134" s="25" t="n">
        <f aca="false">G134^2/1029.4</f>
        <v>0.0177619739654167</v>
      </c>
      <c r="O134" s="26" t="n">
        <f aca="false">N134*J134</f>
        <v>0.555239306158928</v>
      </c>
      <c r="P134" s="25" t="n">
        <f aca="false">(F134^2-G134^2)/1029.4</f>
        <v>0.00652401787449</v>
      </c>
      <c r="Q134" s="26" t="n">
        <f aca="false">P134*J134</f>
        <v>0.203940798756557</v>
      </c>
    </row>
    <row r="135" customFormat="false" ht="15" hidden="false" customHeight="true" outlineLevel="0" collapsed="false">
      <c r="A135" s="22" t="n">
        <v>134</v>
      </c>
      <c r="B135" s="22" t="n">
        <v>127</v>
      </c>
      <c r="C135" s="22" t="n">
        <v>32</v>
      </c>
      <c r="D135" s="22" t="s">
        <v>178</v>
      </c>
      <c r="E135" s="22" t="s">
        <v>179</v>
      </c>
      <c r="F135" s="23" t="n">
        <v>5</v>
      </c>
      <c r="G135" s="23" t="n">
        <v>4.276</v>
      </c>
      <c r="H135" s="20" t="n">
        <v>19.5</v>
      </c>
      <c r="I135" s="22" t="s">
        <v>180</v>
      </c>
      <c r="J135" s="20" t="n">
        <v>31.29</v>
      </c>
      <c r="K135" s="24" t="n">
        <f aca="false">K134+J135</f>
        <v>4069.97</v>
      </c>
      <c r="L135" s="24" t="n">
        <f aca="false">Well_Data!$B$10-K135</f>
        <v>8430.03</v>
      </c>
      <c r="M135" s="24" t="n">
        <f aca="false">Well_Data!$B$10-K135+J135</f>
        <v>8461.32</v>
      </c>
      <c r="N135" s="25" t="n">
        <f aca="false">G135^2/1029.4</f>
        <v>0.0177619739654167</v>
      </c>
      <c r="O135" s="26" t="n">
        <f aca="false">N135*J135</f>
        <v>0.55577216537789</v>
      </c>
      <c r="P135" s="25" t="n">
        <f aca="false">(F135^2-G135^2)/1029.4</f>
        <v>0.00652401787449</v>
      </c>
      <c r="Q135" s="26" t="n">
        <f aca="false">P135*J135</f>
        <v>0.204136519292792</v>
      </c>
    </row>
    <row r="136" customFormat="false" ht="15" hidden="false" customHeight="true" outlineLevel="0" collapsed="false">
      <c r="A136" s="22" t="n">
        <v>135</v>
      </c>
      <c r="B136" s="22" t="n">
        <v>128</v>
      </c>
      <c r="C136" s="22" t="n">
        <v>32</v>
      </c>
      <c r="D136" s="22" t="s">
        <v>178</v>
      </c>
      <c r="E136" s="22" t="s">
        <v>179</v>
      </c>
      <c r="F136" s="23" t="n">
        <v>5</v>
      </c>
      <c r="G136" s="23" t="n">
        <v>4.276</v>
      </c>
      <c r="H136" s="20" t="n">
        <v>19.5</v>
      </c>
      <c r="I136" s="22" t="s">
        <v>180</v>
      </c>
      <c r="J136" s="20" t="n">
        <v>31.22</v>
      </c>
      <c r="K136" s="24" t="n">
        <f aca="false">K135+J136</f>
        <v>4101.19</v>
      </c>
      <c r="L136" s="24" t="n">
        <f aca="false">Well_Data!$B$10-K136</f>
        <v>8398.81</v>
      </c>
      <c r="M136" s="24" t="n">
        <f aca="false">Well_Data!$B$10-K136+J136</f>
        <v>8430.03</v>
      </c>
      <c r="N136" s="25" t="n">
        <f aca="false">G136^2/1029.4</f>
        <v>0.0177619739654167</v>
      </c>
      <c r="O136" s="26" t="n">
        <f aca="false">N136*J136</f>
        <v>0.554528827200311</v>
      </c>
      <c r="P136" s="25" t="n">
        <f aca="false">(F136^2-G136^2)/1029.4</f>
        <v>0.00652401787449</v>
      </c>
      <c r="Q136" s="26" t="n">
        <f aca="false">P136*J136</f>
        <v>0.203679838041578</v>
      </c>
    </row>
    <row r="137" customFormat="false" ht="15" hidden="false" customHeight="true" outlineLevel="0" collapsed="false">
      <c r="A137" s="22" t="n">
        <v>136</v>
      </c>
      <c r="B137" s="22" t="n">
        <v>129</v>
      </c>
      <c r="C137" s="22" t="n">
        <v>32</v>
      </c>
      <c r="D137" s="22" t="s">
        <v>178</v>
      </c>
      <c r="E137" s="22" t="s">
        <v>179</v>
      </c>
      <c r="F137" s="23" t="n">
        <v>5</v>
      </c>
      <c r="G137" s="23" t="n">
        <v>4.276</v>
      </c>
      <c r="H137" s="20" t="n">
        <v>19.5</v>
      </c>
      <c r="I137" s="22" t="s">
        <v>180</v>
      </c>
      <c r="J137" s="20" t="n">
        <v>30.78</v>
      </c>
      <c r="K137" s="24" t="n">
        <f aca="false">K136+J137</f>
        <v>4131.97</v>
      </c>
      <c r="L137" s="24" t="n">
        <f aca="false">Well_Data!$B$10-K137</f>
        <v>8368.03</v>
      </c>
      <c r="M137" s="24" t="n">
        <f aca="false">Well_Data!$B$10-K137+J137</f>
        <v>8398.81</v>
      </c>
      <c r="N137" s="25" t="n">
        <f aca="false">G137^2/1029.4</f>
        <v>0.0177619739654167</v>
      </c>
      <c r="O137" s="26" t="n">
        <f aca="false">N137*J137</f>
        <v>0.546713558655527</v>
      </c>
      <c r="P137" s="25" t="n">
        <f aca="false">(F137^2-G137^2)/1029.4</f>
        <v>0.00652401787449</v>
      </c>
      <c r="Q137" s="26" t="n">
        <f aca="false">P137*J137</f>
        <v>0.200809270176802</v>
      </c>
    </row>
    <row r="138" customFormat="false" ht="15" hidden="false" customHeight="true" outlineLevel="0" collapsed="false">
      <c r="A138" s="22" t="n">
        <v>137</v>
      </c>
      <c r="B138" s="22" t="n">
        <v>130</v>
      </c>
      <c r="C138" s="22" t="n">
        <v>33</v>
      </c>
      <c r="D138" s="22" t="s">
        <v>178</v>
      </c>
      <c r="E138" s="22" t="s">
        <v>179</v>
      </c>
      <c r="F138" s="23" t="n">
        <v>5</v>
      </c>
      <c r="G138" s="23" t="n">
        <v>4.276</v>
      </c>
      <c r="H138" s="20" t="n">
        <v>19.5</v>
      </c>
      <c r="I138" s="22" t="s">
        <v>180</v>
      </c>
      <c r="J138" s="20" t="n">
        <v>31.47</v>
      </c>
      <c r="K138" s="24" t="n">
        <f aca="false">K137+J138</f>
        <v>4163.44</v>
      </c>
      <c r="L138" s="24" t="n">
        <f aca="false">Well_Data!$B$10-K138</f>
        <v>8336.56</v>
      </c>
      <c r="M138" s="24" t="n">
        <f aca="false">Well_Data!$B$10-K138+J138</f>
        <v>8368.03</v>
      </c>
      <c r="N138" s="25" t="n">
        <f aca="false">G138^2/1029.4</f>
        <v>0.0177619739654167</v>
      </c>
      <c r="O138" s="26" t="n">
        <f aca="false">N138*J138</f>
        <v>0.558969320691665</v>
      </c>
      <c r="P138" s="25" t="n">
        <f aca="false">(F138^2-G138^2)/1029.4</f>
        <v>0.00652401787449</v>
      </c>
      <c r="Q138" s="26" t="n">
        <f aca="false">P138*J138</f>
        <v>0.2053108425102</v>
      </c>
    </row>
    <row r="139" customFormat="false" ht="15" hidden="false" customHeight="true" outlineLevel="0" collapsed="false">
      <c r="A139" s="22" t="n">
        <v>138</v>
      </c>
      <c r="B139" s="22" t="n">
        <v>131</v>
      </c>
      <c r="C139" s="22" t="n">
        <v>33</v>
      </c>
      <c r="D139" s="22" t="s">
        <v>178</v>
      </c>
      <c r="E139" s="22" t="s">
        <v>179</v>
      </c>
      <c r="F139" s="23" t="n">
        <v>5</v>
      </c>
      <c r="G139" s="23" t="n">
        <v>4.276</v>
      </c>
      <c r="H139" s="20" t="n">
        <v>19.5</v>
      </c>
      <c r="I139" s="22" t="s">
        <v>180</v>
      </c>
      <c r="J139" s="20" t="n">
        <v>31.2</v>
      </c>
      <c r="K139" s="24" t="n">
        <f aca="false">K138+J139</f>
        <v>4194.64</v>
      </c>
      <c r="L139" s="24" t="n">
        <f aca="false">Well_Data!$B$10-K139</f>
        <v>8305.36</v>
      </c>
      <c r="M139" s="24" t="n">
        <f aca="false">Well_Data!$B$10-K139+J139</f>
        <v>8336.56</v>
      </c>
      <c r="N139" s="25" t="n">
        <f aca="false">G139^2/1029.4</f>
        <v>0.0177619739654167</v>
      </c>
      <c r="O139" s="26" t="n">
        <f aca="false">N139*J139</f>
        <v>0.554173587721002</v>
      </c>
      <c r="P139" s="25" t="n">
        <f aca="false">(F139^2-G139^2)/1029.4</f>
        <v>0.00652401787449</v>
      </c>
      <c r="Q139" s="26" t="n">
        <f aca="false">P139*J139</f>
        <v>0.203549357684088</v>
      </c>
    </row>
    <row r="140" customFormat="false" ht="15" hidden="false" customHeight="true" outlineLevel="0" collapsed="false">
      <c r="A140" s="22" t="n">
        <v>139</v>
      </c>
      <c r="B140" s="22" t="n">
        <v>132</v>
      </c>
      <c r="C140" s="22" t="n">
        <v>33</v>
      </c>
      <c r="D140" s="22" t="s">
        <v>178</v>
      </c>
      <c r="E140" s="22" t="s">
        <v>179</v>
      </c>
      <c r="F140" s="23" t="n">
        <v>5</v>
      </c>
      <c r="G140" s="23" t="n">
        <v>4.276</v>
      </c>
      <c r="H140" s="20" t="n">
        <v>19.5</v>
      </c>
      <c r="I140" s="22" t="s">
        <v>180</v>
      </c>
      <c r="J140" s="20" t="n">
        <v>31.04</v>
      </c>
      <c r="K140" s="24" t="n">
        <f aca="false">K139+J140</f>
        <v>4225.68</v>
      </c>
      <c r="L140" s="24" t="n">
        <f aca="false">Well_Data!$B$10-K140</f>
        <v>8274.32</v>
      </c>
      <c r="M140" s="24" t="n">
        <f aca="false">Well_Data!$B$10-K140+J140</f>
        <v>8305.36</v>
      </c>
      <c r="N140" s="25" t="n">
        <f aca="false">G140^2/1029.4</f>
        <v>0.0177619739654167</v>
      </c>
      <c r="O140" s="26" t="n">
        <f aca="false">N140*J140</f>
        <v>0.551331671886536</v>
      </c>
      <c r="P140" s="25" t="n">
        <f aca="false">(F140^2-G140^2)/1029.4</f>
        <v>0.00652401787449</v>
      </c>
      <c r="Q140" s="26" t="n">
        <f aca="false">P140*J140</f>
        <v>0.202505514824169</v>
      </c>
    </row>
    <row r="141" customFormat="false" ht="15" hidden="false" customHeight="true" outlineLevel="0" collapsed="false">
      <c r="A141" s="22" t="n">
        <v>140</v>
      </c>
      <c r="B141" s="22" t="n">
        <v>133</v>
      </c>
      <c r="C141" s="22" t="n">
        <v>34</v>
      </c>
      <c r="D141" s="22" t="s">
        <v>178</v>
      </c>
      <c r="E141" s="22" t="s">
        <v>179</v>
      </c>
      <c r="F141" s="23" t="n">
        <v>5</v>
      </c>
      <c r="G141" s="23" t="n">
        <v>4.276</v>
      </c>
      <c r="H141" s="20" t="n">
        <v>19.5</v>
      </c>
      <c r="I141" s="22" t="s">
        <v>180</v>
      </c>
      <c r="J141" s="20" t="n">
        <v>31.56</v>
      </c>
      <c r="K141" s="24" t="n">
        <f aca="false">K140+J141</f>
        <v>4257.24</v>
      </c>
      <c r="L141" s="24" t="n">
        <f aca="false">Well_Data!$B$10-K141</f>
        <v>8242.76</v>
      </c>
      <c r="M141" s="24" t="n">
        <f aca="false">Well_Data!$B$10-K141+J141</f>
        <v>8274.32</v>
      </c>
      <c r="N141" s="25" t="n">
        <f aca="false">G141^2/1029.4</f>
        <v>0.0177619739654167</v>
      </c>
      <c r="O141" s="26" t="n">
        <f aca="false">N141*J141</f>
        <v>0.560567898348552</v>
      </c>
      <c r="P141" s="25" t="n">
        <f aca="false">(F141^2-G141^2)/1029.4</f>
        <v>0.00652401787449</v>
      </c>
      <c r="Q141" s="26" t="n">
        <f aca="false">P141*J141</f>
        <v>0.205898004118904</v>
      </c>
    </row>
    <row r="142" customFormat="false" ht="15" hidden="false" customHeight="true" outlineLevel="0" collapsed="false">
      <c r="A142" s="22" t="n">
        <v>141</v>
      </c>
      <c r="B142" s="22" t="n">
        <v>134</v>
      </c>
      <c r="C142" s="22" t="n">
        <v>34</v>
      </c>
      <c r="D142" s="22" t="s">
        <v>178</v>
      </c>
      <c r="E142" s="22" t="s">
        <v>179</v>
      </c>
      <c r="F142" s="23" t="n">
        <v>5</v>
      </c>
      <c r="G142" s="23" t="n">
        <v>4.276</v>
      </c>
      <c r="H142" s="20" t="n">
        <v>19.5</v>
      </c>
      <c r="I142" s="22" t="s">
        <v>180</v>
      </c>
      <c r="J142" s="20" t="n">
        <v>30.89</v>
      </c>
      <c r="K142" s="24" t="n">
        <f aca="false">K141+J142</f>
        <v>4288.13</v>
      </c>
      <c r="L142" s="24" t="n">
        <f aca="false">Well_Data!$B$10-K142</f>
        <v>8211.87</v>
      </c>
      <c r="M142" s="24" t="n">
        <f aca="false">Well_Data!$B$10-K142+J142</f>
        <v>8242.76</v>
      </c>
      <c r="N142" s="25" t="n">
        <f aca="false">G142^2/1029.4</f>
        <v>0.0177619739654167</v>
      </c>
      <c r="O142" s="26" t="n">
        <f aca="false">N142*J142</f>
        <v>0.548667375791723</v>
      </c>
      <c r="P142" s="25" t="n">
        <f aca="false">(F142^2-G142^2)/1029.4</f>
        <v>0.00652401787449</v>
      </c>
      <c r="Q142" s="26" t="n">
        <f aca="false">P142*J142</f>
        <v>0.201526912142996</v>
      </c>
    </row>
    <row r="143" customFormat="false" ht="15" hidden="false" customHeight="true" outlineLevel="0" collapsed="false">
      <c r="A143" s="22" t="n">
        <v>142</v>
      </c>
      <c r="B143" s="22" t="n">
        <v>135</v>
      </c>
      <c r="C143" s="22" t="n">
        <v>34</v>
      </c>
      <c r="D143" s="22" t="s">
        <v>178</v>
      </c>
      <c r="E143" s="22" t="s">
        <v>179</v>
      </c>
      <c r="F143" s="23" t="n">
        <v>5</v>
      </c>
      <c r="G143" s="23" t="n">
        <v>4.276</v>
      </c>
      <c r="H143" s="20" t="n">
        <v>19.5</v>
      </c>
      <c r="I143" s="22" t="s">
        <v>180</v>
      </c>
      <c r="J143" s="20" t="n">
        <v>31.07</v>
      </c>
      <c r="K143" s="24" t="n">
        <f aca="false">K142+J143</f>
        <v>4319.2</v>
      </c>
      <c r="L143" s="24" t="n">
        <f aca="false">Well_Data!$B$10-K143</f>
        <v>8180.8</v>
      </c>
      <c r="M143" s="24" t="n">
        <f aca="false">Well_Data!$B$10-K143+J143</f>
        <v>8211.87</v>
      </c>
      <c r="N143" s="25" t="n">
        <f aca="false">G143^2/1029.4</f>
        <v>0.0177619739654167</v>
      </c>
      <c r="O143" s="26" t="n">
        <f aca="false">N143*J143</f>
        <v>0.551864531105498</v>
      </c>
      <c r="P143" s="25" t="n">
        <f aca="false">(F143^2-G143^2)/1029.4</f>
        <v>0.00652401787449</v>
      </c>
      <c r="Q143" s="26" t="n">
        <f aca="false">P143*J143</f>
        <v>0.202701235360404</v>
      </c>
    </row>
    <row r="144" customFormat="false" ht="15" hidden="false" customHeight="true" outlineLevel="0" collapsed="false">
      <c r="A144" s="22" t="n">
        <v>143</v>
      </c>
      <c r="B144" s="22" t="n">
        <v>136</v>
      </c>
      <c r="C144" s="22" t="n">
        <v>35</v>
      </c>
      <c r="D144" s="22" t="s">
        <v>178</v>
      </c>
      <c r="E144" s="22" t="s">
        <v>179</v>
      </c>
      <c r="F144" s="23" t="n">
        <v>5</v>
      </c>
      <c r="G144" s="23" t="n">
        <v>4.276</v>
      </c>
      <c r="H144" s="20" t="n">
        <v>19.5</v>
      </c>
      <c r="I144" s="22" t="s">
        <v>180</v>
      </c>
      <c r="J144" s="20" t="n">
        <v>31.29</v>
      </c>
      <c r="K144" s="24" t="n">
        <f aca="false">K143+J144</f>
        <v>4350.49</v>
      </c>
      <c r="L144" s="24" t="n">
        <f aca="false">Well_Data!$B$10-K144</f>
        <v>8149.51</v>
      </c>
      <c r="M144" s="24" t="n">
        <f aca="false">Well_Data!$B$10-K144+J144</f>
        <v>8180.8</v>
      </c>
      <c r="N144" s="25" t="n">
        <f aca="false">G144^2/1029.4</f>
        <v>0.0177619739654167</v>
      </c>
      <c r="O144" s="26" t="n">
        <f aca="false">N144*J144</f>
        <v>0.55577216537789</v>
      </c>
      <c r="P144" s="25" t="n">
        <f aca="false">(F144^2-G144^2)/1029.4</f>
        <v>0.00652401787449</v>
      </c>
      <c r="Q144" s="26" t="n">
        <f aca="false">P144*J144</f>
        <v>0.204136519292792</v>
      </c>
    </row>
    <row r="145" customFormat="false" ht="15" hidden="false" customHeight="true" outlineLevel="0" collapsed="false">
      <c r="A145" s="22" t="n">
        <v>144</v>
      </c>
      <c r="B145" s="22" t="n">
        <v>137</v>
      </c>
      <c r="C145" s="22" t="n">
        <v>35</v>
      </c>
      <c r="D145" s="22" t="s">
        <v>178</v>
      </c>
      <c r="E145" s="22" t="s">
        <v>179</v>
      </c>
      <c r="F145" s="23" t="n">
        <v>5</v>
      </c>
      <c r="G145" s="23" t="n">
        <v>4.276</v>
      </c>
      <c r="H145" s="20" t="n">
        <v>19.5</v>
      </c>
      <c r="I145" s="22" t="s">
        <v>180</v>
      </c>
      <c r="J145" s="20" t="n">
        <v>31.21</v>
      </c>
      <c r="K145" s="24" t="n">
        <f aca="false">K144+J145</f>
        <v>4381.7</v>
      </c>
      <c r="L145" s="24" t="n">
        <f aca="false">Well_Data!$B$10-K145</f>
        <v>8118.3</v>
      </c>
      <c r="M145" s="24" t="n">
        <f aca="false">Well_Data!$B$10-K145+J145</f>
        <v>8149.51</v>
      </c>
      <c r="N145" s="25" t="n">
        <f aca="false">G145^2/1029.4</f>
        <v>0.0177619739654167</v>
      </c>
      <c r="O145" s="26" t="n">
        <f aca="false">N145*J145</f>
        <v>0.554351207460657</v>
      </c>
      <c r="P145" s="25" t="n">
        <f aca="false">(F145^2-G145^2)/1029.4</f>
        <v>0.00652401787449</v>
      </c>
      <c r="Q145" s="26" t="n">
        <f aca="false">P145*J145</f>
        <v>0.203614597862833</v>
      </c>
    </row>
    <row r="146" customFormat="false" ht="15" hidden="false" customHeight="true" outlineLevel="0" collapsed="false">
      <c r="A146" s="22" t="n">
        <v>145</v>
      </c>
      <c r="B146" s="22" t="n">
        <v>138</v>
      </c>
      <c r="C146" s="22" t="n">
        <v>35</v>
      </c>
      <c r="D146" s="22" t="s">
        <v>178</v>
      </c>
      <c r="E146" s="22" t="s">
        <v>179</v>
      </c>
      <c r="F146" s="23" t="n">
        <v>5</v>
      </c>
      <c r="G146" s="23" t="n">
        <v>4.276</v>
      </c>
      <c r="H146" s="20" t="n">
        <v>19.5</v>
      </c>
      <c r="I146" s="22" t="s">
        <v>180</v>
      </c>
      <c r="J146" s="20" t="n">
        <v>30.95</v>
      </c>
      <c r="K146" s="24" t="n">
        <f aca="false">K145+J146</f>
        <v>4412.65</v>
      </c>
      <c r="L146" s="24" t="n">
        <f aca="false">Well_Data!$B$10-K146</f>
        <v>8087.35</v>
      </c>
      <c r="M146" s="24" t="n">
        <f aca="false">Well_Data!$B$10-K146+J146</f>
        <v>8118.3</v>
      </c>
      <c r="N146" s="25" t="n">
        <f aca="false">G146^2/1029.4</f>
        <v>0.0177619739654167</v>
      </c>
      <c r="O146" s="26" t="n">
        <f aca="false">N146*J146</f>
        <v>0.549733094229648</v>
      </c>
      <c r="P146" s="25" t="n">
        <f aca="false">(F146^2-G146^2)/1029.4</f>
        <v>0.00652401787449</v>
      </c>
      <c r="Q146" s="26" t="n">
        <f aca="false">P146*J146</f>
        <v>0.201918353215465</v>
      </c>
    </row>
    <row r="147" customFormat="false" ht="15" hidden="false" customHeight="true" outlineLevel="0" collapsed="false">
      <c r="A147" s="22" t="n">
        <v>146</v>
      </c>
      <c r="B147" s="22" t="n">
        <v>139</v>
      </c>
      <c r="C147" s="22" t="n">
        <v>36</v>
      </c>
      <c r="D147" s="22" t="s">
        <v>178</v>
      </c>
      <c r="E147" s="22" t="s">
        <v>179</v>
      </c>
      <c r="F147" s="23" t="n">
        <v>5</v>
      </c>
      <c r="G147" s="23" t="n">
        <v>4.276</v>
      </c>
      <c r="H147" s="20" t="n">
        <v>19.5</v>
      </c>
      <c r="I147" s="22" t="s">
        <v>180</v>
      </c>
      <c r="J147" s="20" t="n">
        <v>31.44</v>
      </c>
      <c r="K147" s="24" t="n">
        <f aca="false">K146+J147</f>
        <v>4444.09</v>
      </c>
      <c r="L147" s="24" t="n">
        <f aca="false">Well_Data!$B$10-K147</f>
        <v>8055.91</v>
      </c>
      <c r="M147" s="24" t="n">
        <f aca="false">Well_Data!$B$10-K147+J147</f>
        <v>8087.35</v>
      </c>
      <c r="N147" s="25" t="n">
        <f aca="false">G147^2/1029.4</f>
        <v>0.0177619739654167</v>
      </c>
      <c r="O147" s="26" t="n">
        <f aca="false">N147*J147</f>
        <v>0.558436461472702</v>
      </c>
      <c r="P147" s="25" t="n">
        <f aca="false">(F147^2-G147^2)/1029.4</f>
        <v>0.00652401787449</v>
      </c>
      <c r="Q147" s="26" t="n">
        <f aca="false">P147*J147</f>
        <v>0.205115121973965</v>
      </c>
    </row>
    <row r="148" customFormat="false" ht="15" hidden="false" customHeight="true" outlineLevel="0" collapsed="false">
      <c r="A148" s="22" t="n">
        <v>147</v>
      </c>
      <c r="B148" s="22" t="n">
        <v>140</v>
      </c>
      <c r="C148" s="22" t="n">
        <v>36</v>
      </c>
      <c r="D148" s="22" t="s">
        <v>178</v>
      </c>
      <c r="E148" s="22" t="s">
        <v>179</v>
      </c>
      <c r="F148" s="23" t="n">
        <v>5</v>
      </c>
      <c r="G148" s="23" t="n">
        <v>4.276</v>
      </c>
      <c r="H148" s="20" t="n">
        <v>19.5</v>
      </c>
      <c r="I148" s="22" t="s">
        <v>180</v>
      </c>
      <c r="J148" s="20" t="n">
        <v>31.16</v>
      </c>
      <c r="K148" s="24" t="n">
        <f aca="false">K147+J148</f>
        <v>4475.25</v>
      </c>
      <c r="L148" s="24" t="n">
        <f aca="false">Well_Data!$B$10-K148</f>
        <v>8024.75</v>
      </c>
      <c r="M148" s="24" t="n">
        <f aca="false">Well_Data!$B$10-K148+J148</f>
        <v>8055.91</v>
      </c>
      <c r="N148" s="25" t="n">
        <f aca="false">G148^2/1029.4</f>
        <v>0.0177619739654167</v>
      </c>
      <c r="O148" s="26" t="n">
        <f aca="false">N148*J148</f>
        <v>0.553463108762386</v>
      </c>
      <c r="P148" s="25" t="n">
        <f aca="false">(F148^2-G148^2)/1029.4</f>
        <v>0.00652401787449</v>
      </c>
      <c r="Q148" s="26" t="n">
        <f aca="false">P148*J148</f>
        <v>0.203288396969108</v>
      </c>
    </row>
    <row r="149" customFormat="false" ht="15" hidden="false" customHeight="true" outlineLevel="0" collapsed="false">
      <c r="A149" s="22" t="n">
        <v>148</v>
      </c>
      <c r="B149" s="22" t="n">
        <v>141</v>
      </c>
      <c r="C149" s="22" t="n">
        <v>36</v>
      </c>
      <c r="D149" s="22" t="s">
        <v>178</v>
      </c>
      <c r="E149" s="22" t="s">
        <v>179</v>
      </c>
      <c r="F149" s="23" t="n">
        <v>5</v>
      </c>
      <c r="G149" s="23" t="n">
        <v>4.276</v>
      </c>
      <c r="H149" s="20" t="n">
        <v>19.5</v>
      </c>
      <c r="I149" s="22" t="s">
        <v>180</v>
      </c>
      <c r="J149" s="20" t="n">
        <v>31.19</v>
      </c>
      <c r="K149" s="24" t="n">
        <f aca="false">K148+J149</f>
        <v>4506.44</v>
      </c>
      <c r="L149" s="24" t="n">
        <f aca="false">Well_Data!$B$10-K149</f>
        <v>7993.56</v>
      </c>
      <c r="M149" s="24" t="n">
        <f aca="false">Well_Data!$B$10-K149+J149</f>
        <v>8024.75</v>
      </c>
      <c r="N149" s="25" t="n">
        <f aca="false">G149^2/1029.4</f>
        <v>0.0177619739654167</v>
      </c>
      <c r="O149" s="26" t="n">
        <f aca="false">N149*J149</f>
        <v>0.553995967981348</v>
      </c>
      <c r="P149" s="25" t="n">
        <f aca="false">(F149^2-G149^2)/1029.4</f>
        <v>0.00652401787449</v>
      </c>
      <c r="Q149" s="26" t="n">
        <f aca="false">P149*J149</f>
        <v>0.203484117505343</v>
      </c>
    </row>
    <row r="150" customFormat="false" ht="15" hidden="false" customHeight="true" outlineLevel="0" collapsed="false">
      <c r="A150" s="22" t="n">
        <v>149</v>
      </c>
      <c r="B150" s="22" t="n">
        <v>142</v>
      </c>
      <c r="C150" s="22" t="n">
        <v>37</v>
      </c>
      <c r="D150" s="22" t="s">
        <v>178</v>
      </c>
      <c r="E150" s="22" t="s">
        <v>179</v>
      </c>
      <c r="F150" s="23" t="n">
        <v>5</v>
      </c>
      <c r="G150" s="23" t="n">
        <v>4.276</v>
      </c>
      <c r="H150" s="20" t="n">
        <v>19.5</v>
      </c>
      <c r="I150" s="22" t="s">
        <v>180</v>
      </c>
      <c r="J150" s="20" t="n">
        <v>31.16</v>
      </c>
      <c r="K150" s="24" t="n">
        <f aca="false">K149+J150</f>
        <v>4537.6</v>
      </c>
      <c r="L150" s="24" t="n">
        <f aca="false">Well_Data!$B$10-K150</f>
        <v>7962.4</v>
      </c>
      <c r="M150" s="24" t="n">
        <f aca="false">Well_Data!$B$10-K150+J150</f>
        <v>7993.56</v>
      </c>
      <c r="N150" s="25" t="n">
        <f aca="false">G150^2/1029.4</f>
        <v>0.0177619739654167</v>
      </c>
      <c r="O150" s="26" t="n">
        <f aca="false">N150*J150</f>
        <v>0.553463108762386</v>
      </c>
      <c r="P150" s="25" t="n">
        <f aca="false">(F150^2-G150^2)/1029.4</f>
        <v>0.00652401787449</v>
      </c>
      <c r="Q150" s="26" t="n">
        <f aca="false">P150*J150</f>
        <v>0.203288396969108</v>
      </c>
    </row>
    <row r="151" customFormat="false" ht="15" hidden="false" customHeight="true" outlineLevel="0" collapsed="false">
      <c r="A151" s="22" t="n">
        <v>150</v>
      </c>
      <c r="B151" s="22" t="n">
        <v>143</v>
      </c>
      <c r="C151" s="22" t="n">
        <v>37</v>
      </c>
      <c r="D151" s="22" t="s">
        <v>178</v>
      </c>
      <c r="E151" s="22" t="s">
        <v>179</v>
      </c>
      <c r="F151" s="23" t="n">
        <v>5</v>
      </c>
      <c r="G151" s="23" t="n">
        <v>4.276</v>
      </c>
      <c r="H151" s="20" t="n">
        <v>19.5</v>
      </c>
      <c r="I151" s="22" t="s">
        <v>180</v>
      </c>
      <c r="J151" s="20" t="n">
        <v>31.36</v>
      </c>
      <c r="K151" s="24" t="n">
        <f aca="false">K150+J151</f>
        <v>4568.96</v>
      </c>
      <c r="L151" s="24" t="n">
        <f aca="false">Well_Data!$B$10-K151</f>
        <v>7931.04</v>
      </c>
      <c r="M151" s="24" t="n">
        <f aca="false">Well_Data!$B$10-K151+J151</f>
        <v>7962.4</v>
      </c>
      <c r="N151" s="25" t="n">
        <f aca="false">G151^2/1029.4</f>
        <v>0.0177619739654167</v>
      </c>
      <c r="O151" s="26" t="n">
        <f aca="false">N151*J151</f>
        <v>0.557015503555469</v>
      </c>
      <c r="P151" s="25" t="n">
        <f aca="false">(F151^2-G151^2)/1029.4</f>
        <v>0.00652401787449</v>
      </c>
      <c r="Q151" s="26" t="n">
        <f aca="false">P151*J151</f>
        <v>0.204593200544006</v>
      </c>
    </row>
    <row r="152" customFormat="false" ht="15" hidden="false" customHeight="true" outlineLevel="0" collapsed="false">
      <c r="A152" s="22" t="n">
        <v>151</v>
      </c>
      <c r="B152" s="22" t="n">
        <v>144</v>
      </c>
      <c r="C152" s="22" t="n">
        <v>37</v>
      </c>
      <c r="D152" s="22" t="s">
        <v>178</v>
      </c>
      <c r="E152" s="22" t="s">
        <v>179</v>
      </c>
      <c r="F152" s="23" t="n">
        <v>5</v>
      </c>
      <c r="G152" s="23" t="n">
        <v>4.276</v>
      </c>
      <c r="H152" s="20" t="n">
        <v>19.5</v>
      </c>
      <c r="I152" s="22" t="s">
        <v>180</v>
      </c>
      <c r="J152" s="20" t="n">
        <v>31.14</v>
      </c>
      <c r="K152" s="24" t="n">
        <f aca="false">K151+J152</f>
        <v>4600.1</v>
      </c>
      <c r="L152" s="24" t="n">
        <f aca="false">Well_Data!$B$10-K152</f>
        <v>7899.9</v>
      </c>
      <c r="M152" s="24" t="n">
        <f aca="false">Well_Data!$B$10-K152+J152</f>
        <v>7931.04</v>
      </c>
      <c r="N152" s="25" t="n">
        <f aca="false">G152^2/1029.4</f>
        <v>0.0177619739654167</v>
      </c>
      <c r="O152" s="26" t="n">
        <f aca="false">N152*J152</f>
        <v>0.553107869283077</v>
      </c>
      <c r="P152" s="25" t="n">
        <f aca="false">(F152^2-G152^2)/1029.4</f>
        <v>0.00652401787449</v>
      </c>
      <c r="Q152" s="26" t="n">
        <f aca="false">P152*J152</f>
        <v>0.203157916611618</v>
      </c>
    </row>
    <row r="153" customFormat="false" ht="15" hidden="false" customHeight="true" outlineLevel="0" collapsed="false">
      <c r="A153" s="22" t="n">
        <v>152</v>
      </c>
      <c r="B153" s="22" t="n">
        <v>145</v>
      </c>
      <c r="C153" s="22" t="n">
        <v>38</v>
      </c>
      <c r="D153" s="22" t="s">
        <v>178</v>
      </c>
      <c r="E153" s="22" t="s">
        <v>179</v>
      </c>
      <c r="F153" s="23" t="n">
        <v>5</v>
      </c>
      <c r="G153" s="23" t="n">
        <v>4.276</v>
      </c>
      <c r="H153" s="20" t="n">
        <v>19.5</v>
      </c>
      <c r="I153" s="22" t="s">
        <v>180</v>
      </c>
      <c r="J153" s="20" t="n">
        <v>30.9</v>
      </c>
      <c r="K153" s="24" t="n">
        <f aca="false">K152+J153</f>
        <v>4631</v>
      </c>
      <c r="L153" s="24" t="n">
        <f aca="false">Well_Data!$B$10-K153</f>
        <v>7869</v>
      </c>
      <c r="M153" s="24" t="n">
        <f aca="false">Well_Data!$B$10-K153+J153</f>
        <v>7899.9</v>
      </c>
      <c r="N153" s="25" t="n">
        <f aca="false">G153^2/1029.4</f>
        <v>0.0177619739654167</v>
      </c>
      <c r="O153" s="26" t="n">
        <f aca="false">N153*J153</f>
        <v>0.548844995531377</v>
      </c>
      <c r="P153" s="25" t="n">
        <f aca="false">(F153^2-G153^2)/1029.4</f>
        <v>0.00652401787449</v>
      </c>
      <c r="Q153" s="26" t="n">
        <f aca="false">P153*J153</f>
        <v>0.201592152321741</v>
      </c>
    </row>
    <row r="154" customFormat="false" ht="15" hidden="false" customHeight="true" outlineLevel="0" collapsed="false">
      <c r="A154" s="22" t="n">
        <v>153</v>
      </c>
      <c r="B154" s="22" t="n">
        <v>146</v>
      </c>
      <c r="C154" s="22" t="n">
        <v>38</v>
      </c>
      <c r="D154" s="22" t="s">
        <v>178</v>
      </c>
      <c r="E154" s="22" t="s">
        <v>179</v>
      </c>
      <c r="F154" s="23" t="n">
        <v>5</v>
      </c>
      <c r="G154" s="23" t="n">
        <v>4.276</v>
      </c>
      <c r="H154" s="20" t="n">
        <v>19.5</v>
      </c>
      <c r="I154" s="22" t="s">
        <v>180</v>
      </c>
      <c r="J154" s="20" t="n">
        <v>31.31</v>
      </c>
      <c r="K154" s="24" t="n">
        <f aca="false">K153+J154</f>
        <v>4662.31</v>
      </c>
      <c r="L154" s="24" t="n">
        <f aca="false">Well_Data!$B$10-K154</f>
        <v>7837.69</v>
      </c>
      <c r="M154" s="24" t="n">
        <f aca="false">Well_Data!$B$10-K154+J154</f>
        <v>7869</v>
      </c>
      <c r="N154" s="25" t="n">
        <f aca="false">G154^2/1029.4</f>
        <v>0.0177619739654167</v>
      </c>
      <c r="O154" s="26" t="n">
        <f aca="false">N154*J154</f>
        <v>0.556127404857198</v>
      </c>
      <c r="P154" s="25" t="n">
        <f aca="false">(F154^2-G154^2)/1029.4</f>
        <v>0.00652401787449</v>
      </c>
      <c r="Q154" s="26" t="n">
        <f aca="false">P154*J154</f>
        <v>0.204266999650282</v>
      </c>
    </row>
    <row r="155" customFormat="false" ht="15" hidden="false" customHeight="true" outlineLevel="0" collapsed="false">
      <c r="A155" s="22" t="n">
        <v>154</v>
      </c>
      <c r="B155" s="22" t="n">
        <v>147</v>
      </c>
      <c r="C155" s="22" t="n">
        <v>38</v>
      </c>
      <c r="D155" s="22" t="s">
        <v>178</v>
      </c>
      <c r="E155" s="22" t="s">
        <v>179</v>
      </c>
      <c r="F155" s="23" t="n">
        <v>5</v>
      </c>
      <c r="G155" s="23" t="n">
        <v>4.276</v>
      </c>
      <c r="H155" s="20" t="n">
        <v>19.5</v>
      </c>
      <c r="I155" s="22" t="s">
        <v>180</v>
      </c>
      <c r="J155" s="20" t="n">
        <v>31.29</v>
      </c>
      <c r="K155" s="24" t="n">
        <f aca="false">K154+J155</f>
        <v>4693.6</v>
      </c>
      <c r="L155" s="24" t="n">
        <f aca="false">Well_Data!$B$10-K155</f>
        <v>7806.4</v>
      </c>
      <c r="M155" s="24" t="n">
        <f aca="false">Well_Data!$B$10-K155+J155</f>
        <v>7837.69</v>
      </c>
      <c r="N155" s="25" t="n">
        <f aca="false">G155^2/1029.4</f>
        <v>0.0177619739654167</v>
      </c>
      <c r="O155" s="26" t="n">
        <f aca="false">N155*J155</f>
        <v>0.55577216537789</v>
      </c>
      <c r="P155" s="25" t="n">
        <f aca="false">(F155^2-G155^2)/1029.4</f>
        <v>0.00652401787449</v>
      </c>
      <c r="Q155" s="26" t="n">
        <f aca="false">P155*J155</f>
        <v>0.204136519292792</v>
      </c>
    </row>
    <row r="156" customFormat="false" ht="15" hidden="false" customHeight="true" outlineLevel="0" collapsed="false">
      <c r="A156" s="22" t="n">
        <v>155</v>
      </c>
      <c r="B156" s="22" t="n">
        <v>148</v>
      </c>
      <c r="C156" s="22" t="n">
        <v>39</v>
      </c>
      <c r="D156" s="22" t="s">
        <v>178</v>
      </c>
      <c r="E156" s="22" t="s">
        <v>179</v>
      </c>
      <c r="F156" s="23" t="n">
        <v>5</v>
      </c>
      <c r="G156" s="23" t="n">
        <v>4.276</v>
      </c>
      <c r="H156" s="20" t="n">
        <v>19.5</v>
      </c>
      <c r="I156" s="22" t="s">
        <v>180</v>
      </c>
      <c r="J156" s="20" t="n">
        <v>31.48</v>
      </c>
      <c r="K156" s="24" t="n">
        <f aca="false">K155+J156</f>
        <v>4725.08</v>
      </c>
      <c r="L156" s="24" t="n">
        <f aca="false">Well_Data!$B$10-K156</f>
        <v>7774.92</v>
      </c>
      <c r="M156" s="24" t="n">
        <f aca="false">Well_Data!$B$10-K156+J156</f>
        <v>7806.4</v>
      </c>
      <c r="N156" s="25" t="n">
        <f aca="false">G156^2/1029.4</f>
        <v>0.0177619739654167</v>
      </c>
      <c r="O156" s="26" t="n">
        <f aca="false">N156*J156</f>
        <v>0.559146940431319</v>
      </c>
      <c r="P156" s="25" t="n">
        <f aca="false">(F156^2-G156^2)/1029.4</f>
        <v>0.00652401787449</v>
      </c>
      <c r="Q156" s="26" t="n">
        <f aca="false">P156*J156</f>
        <v>0.205376082688945</v>
      </c>
    </row>
    <row r="157" customFormat="false" ht="15" hidden="false" customHeight="true" outlineLevel="0" collapsed="false">
      <c r="A157" s="22" t="n">
        <v>156</v>
      </c>
      <c r="B157" s="22" t="n">
        <v>149</v>
      </c>
      <c r="C157" s="22" t="n">
        <v>39</v>
      </c>
      <c r="D157" s="22" t="s">
        <v>178</v>
      </c>
      <c r="E157" s="22" t="s">
        <v>179</v>
      </c>
      <c r="F157" s="23" t="n">
        <v>5</v>
      </c>
      <c r="G157" s="23" t="n">
        <v>4.276</v>
      </c>
      <c r="H157" s="20" t="n">
        <v>19.5</v>
      </c>
      <c r="I157" s="22" t="s">
        <v>180</v>
      </c>
      <c r="J157" s="20" t="n">
        <v>31.3</v>
      </c>
      <c r="K157" s="24" t="n">
        <f aca="false">K156+J157</f>
        <v>4756.38</v>
      </c>
      <c r="L157" s="24" t="n">
        <f aca="false">Well_Data!$B$10-K157</f>
        <v>7743.62</v>
      </c>
      <c r="M157" s="24" t="n">
        <f aca="false">Well_Data!$B$10-K157+J157</f>
        <v>7774.92</v>
      </c>
      <c r="N157" s="25" t="n">
        <f aca="false">G157^2/1029.4</f>
        <v>0.0177619739654167</v>
      </c>
      <c r="O157" s="26" t="n">
        <f aca="false">N157*J157</f>
        <v>0.555949785117544</v>
      </c>
      <c r="P157" s="25" t="n">
        <f aca="false">(F157^2-G157^2)/1029.4</f>
        <v>0.00652401787449</v>
      </c>
      <c r="Q157" s="26" t="n">
        <f aca="false">P157*J157</f>
        <v>0.204201759471537</v>
      </c>
    </row>
    <row r="158" customFormat="false" ht="15" hidden="false" customHeight="true" outlineLevel="0" collapsed="false">
      <c r="A158" s="22" t="n">
        <v>157</v>
      </c>
      <c r="B158" s="22" t="n">
        <v>150</v>
      </c>
      <c r="C158" s="22" t="n">
        <v>39</v>
      </c>
      <c r="D158" s="22" t="s">
        <v>178</v>
      </c>
      <c r="E158" s="22" t="s">
        <v>179</v>
      </c>
      <c r="F158" s="23" t="n">
        <v>5</v>
      </c>
      <c r="G158" s="23" t="n">
        <v>4.276</v>
      </c>
      <c r="H158" s="20" t="n">
        <v>19.5</v>
      </c>
      <c r="I158" s="22" t="s">
        <v>180</v>
      </c>
      <c r="J158" s="20" t="n">
        <v>31.15</v>
      </c>
      <c r="K158" s="24" t="n">
        <f aca="false">K157+J158</f>
        <v>4787.53</v>
      </c>
      <c r="L158" s="24" t="n">
        <f aca="false">Well_Data!$B$10-K158</f>
        <v>7712.47</v>
      </c>
      <c r="M158" s="24" t="n">
        <f aca="false">Well_Data!$B$10-K158+J158</f>
        <v>7743.62</v>
      </c>
      <c r="N158" s="25" t="n">
        <f aca="false">G158^2/1029.4</f>
        <v>0.0177619739654167</v>
      </c>
      <c r="O158" s="26" t="n">
        <f aca="false">N158*J158</f>
        <v>0.553285489022732</v>
      </c>
      <c r="P158" s="25" t="n">
        <f aca="false">(F158^2-G158^2)/1029.4</f>
        <v>0.00652401787449</v>
      </c>
      <c r="Q158" s="26" t="n">
        <f aca="false">P158*J158</f>
        <v>0.203223156790363</v>
      </c>
    </row>
    <row r="159" customFormat="false" ht="15" hidden="false" customHeight="true" outlineLevel="0" collapsed="false">
      <c r="A159" s="22" t="n">
        <v>158</v>
      </c>
      <c r="B159" s="22" t="n">
        <v>151</v>
      </c>
      <c r="C159" s="22" t="n">
        <v>40</v>
      </c>
      <c r="D159" s="22" t="s">
        <v>178</v>
      </c>
      <c r="E159" s="22" t="s">
        <v>179</v>
      </c>
      <c r="F159" s="23" t="n">
        <v>5</v>
      </c>
      <c r="G159" s="23" t="n">
        <v>4.276</v>
      </c>
      <c r="H159" s="20" t="n">
        <v>19.5</v>
      </c>
      <c r="I159" s="22" t="s">
        <v>180</v>
      </c>
      <c r="J159" s="20" t="n">
        <v>31.4</v>
      </c>
      <c r="K159" s="24" t="n">
        <f aca="false">K158+J159</f>
        <v>4818.93</v>
      </c>
      <c r="L159" s="24" t="n">
        <f aca="false">Well_Data!$B$10-K159</f>
        <v>7681.07</v>
      </c>
      <c r="M159" s="24" t="n">
        <f aca="false">Well_Data!$B$10-K159+J159</f>
        <v>7712.47</v>
      </c>
      <c r="N159" s="25" t="n">
        <f aca="false">G159^2/1029.4</f>
        <v>0.0177619739654167</v>
      </c>
      <c r="O159" s="26" t="n">
        <f aca="false">N159*J159</f>
        <v>0.557725982514086</v>
      </c>
      <c r="P159" s="25" t="n">
        <f aca="false">(F159^2-G159^2)/1029.4</f>
        <v>0.00652401787449</v>
      </c>
      <c r="Q159" s="26" t="n">
        <f aca="false">P159*J159</f>
        <v>0.204854161258986</v>
      </c>
    </row>
    <row r="160" customFormat="false" ht="15" hidden="false" customHeight="true" outlineLevel="0" collapsed="false">
      <c r="A160" s="22" t="n">
        <v>159</v>
      </c>
      <c r="B160" s="22" t="n">
        <v>152</v>
      </c>
      <c r="C160" s="22" t="n">
        <v>40</v>
      </c>
      <c r="D160" s="22" t="s">
        <v>178</v>
      </c>
      <c r="E160" s="22" t="s">
        <v>179</v>
      </c>
      <c r="F160" s="23" t="n">
        <v>5</v>
      </c>
      <c r="G160" s="23" t="n">
        <v>4.276</v>
      </c>
      <c r="H160" s="20" t="n">
        <v>19.5</v>
      </c>
      <c r="I160" s="22" t="s">
        <v>180</v>
      </c>
      <c r="J160" s="20" t="n">
        <v>31.17</v>
      </c>
      <c r="K160" s="24" t="n">
        <f aca="false">K159+J160</f>
        <v>4850.1</v>
      </c>
      <c r="L160" s="24" t="n">
        <f aca="false">Well_Data!$B$10-K160</f>
        <v>7649.9</v>
      </c>
      <c r="M160" s="24" t="n">
        <f aca="false">Well_Data!$B$10-K160+J160</f>
        <v>7681.07</v>
      </c>
      <c r="N160" s="25" t="n">
        <f aca="false">G160^2/1029.4</f>
        <v>0.0177619739654167</v>
      </c>
      <c r="O160" s="26" t="n">
        <f aca="false">N160*J160</f>
        <v>0.55364072850204</v>
      </c>
      <c r="P160" s="25" t="n">
        <f aca="false">(F160^2-G160^2)/1029.4</f>
        <v>0.00652401787449</v>
      </c>
      <c r="Q160" s="26" t="n">
        <f aca="false">P160*J160</f>
        <v>0.203353637147853</v>
      </c>
    </row>
    <row r="161" customFormat="false" ht="15" hidden="false" customHeight="true" outlineLevel="0" collapsed="false">
      <c r="A161" s="22" t="n">
        <v>160</v>
      </c>
      <c r="B161" s="22" t="n">
        <v>153</v>
      </c>
      <c r="C161" s="22" t="n">
        <v>40</v>
      </c>
      <c r="D161" s="22" t="s">
        <v>178</v>
      </c>
      <c r="E161" s="22" t="s">
        <v>179</v>
      </c>
      <c r="F161" s="23" t="n">
        <v>5</v>
      </c>
      <c r="G161" s="23" t="n">
        <v>4.276</v>
      </c>
      <c r="H161" s="20" t="n">
        <v>19.5</v>
      </c>
      <c r="I161" s="22" t="s">
        <v>180</v>
      </c>
      <c r="J161" s="20" t="n">
        <v>30.99</v>
      </c>
      <c r="K161" s="24" t="n">
        <f aca="false">K160+J161</f>
        <v>4881.09</v>
      </c>
      <c r="L161" s="24" t="n">
        <f aca="false">Well_Data!$B$10-K161</f>
        <v>7618.91</v>
      </c>
      <c r="M161" s="24" t="n">
        <f aca="false">Well_Data!$B$10-K161+J161</f>
        <v>7649.9</v>
      </c>
      <c r="N161" s="25" t="n">
        <f aca="false">G161^2/1029.4</f>
        <v>0.0177619739654167</v>
      </c>
      <c r="O161" s="26" t="n">
        <f aca="false">N161*J161</f>
        <v>0.550443573188265</v>
      </c>
      <c r="P161" s="25" t="n">
        <f aca="false">(F161^2-G161^2)/1029.4</f>
        <v>0.00652401787449</v>
      </c>
      <c r="Q161" s="26" t="n">
        <f aca="false">P161*J161</f>
        <v>0.202179313930445</v>
      </c>
    </row>
    <row r="162" customFormat="false" ht="15" hidden="false" customHeight="true" outlineLevel="0" collapsed="false">
      <c r="A162" s="22" t="n">
        <v>161</v>
      </c>
      <c r="B162" s="22" t="n">
        <v>154</v>
      </c>
      <c r="C162" s="22" t="n">
        <v>41</v>
      </c>
      <c r="D162" s="22" t="s">
        <v>178</v>
      </c>
      <c r="E162" s="22" t="s">
        <v>179</v>
      </c>
      <c r="F162" s="23" t="n">
        <v>5</v>
      </c>
      <c r="G162" s="23" t="n">
        <v>4.276</v>
      </c>
      <c r="H162" s="20" t="n">
        <v>19.5</v>
      </c>
      <c r="I162" s="22" t="s">
        <v>180</v>
      </c>
      <c r="J162" s="20" t="n">
        <v>31.2</v>
      </c>
      <c r="K162" s="24" t="n">
        <f aca="false">K161+J162</f>
        <v>4912.29</v>
      </c>
      <c r="L162" s="24" t="n">
        <f aca="false">Well_Data!$B$10-K162</f>
        <v>7587.71</v>
      </c>
      <c r="M162" s="24" t="n">
        <f aca="false">Well_Data!$B$10-K162+J162</f>
        <v>7618.91</v>
      </c>
      <c r="N162" s="25" t="n">
        <f aca="false">G162^2/1029.4</f>
        <v>0.0177619739654167</v>
      </c>
      <c r="O162" s="26" t="n">
        <f aca="false">N162*J162</f>
        <v>0.554173587721002</v>
      </c>
      <c r="P162" s="25" t="n">
        <f aca="false">(F162^2-G162^2)/1029.4</f>
        <v>0.00652401787449</v>
      </c>
      <c r="Q162" s="26" t="n">
        <f aca="false">P162*J162</f>
        <v>0.203549357684088</v>
      </c>
    </row>
    <row r="163" customFormat="false" ht="15" hidden="false" customHeight="true" outlineLevel="0" collapsed="false">
      <c r="A163" s="22" t="n">
        <v>162</v>
      </c>
      <c r="B163" s="22" t="n">
        <v>155</v>
      </c>
      <c r="C163" s="22" t="n">
        <v>41</v>
      </c>
      <c r="D163" s="22" t="s">
        <v>178</v>
      </c>
      <c r="E163" s="22" t="s">
        <v>179</v>
      </c>
      <c r="F163" s="23" t="n">
        <v>5</v>
      </c>
      <c r="G163" s="23" t="n">
        <v>4.276</v>
      </c>
      <c r="H163" s="20" t="n">
        <v>19.5</v>
      </c>
      <c r="I163" s="22" t="s">
        <v>180</v>
      </c>
      <c r="J163" s="20" t="n">
        <v>31.36</v>
      </c>
      <c r="K163" s="24" t="n">
        <f aca="false">K162+J163</f>
        <v>4943.65</v>
      </c>
      <c r="L163" s="24" t="n">
        <f aca="false">Well_Data!$B$10-K163</f>
        <v>7556.35</v>
      </c>
      <c r="M163" s="24" t="n">
        <f aca="false">Well_Data!$B$10-K163+J163</f>
        <v>7587.71</v>
      </c>
      <c r="N163" s="25" t="n">
        <f aca="false">G163^2/1029.4</f>
        <v>0.0177619739654167</v>
      </c>
      <c r="O163" s="26" t="n">
        <f aca="false">N163*J163</f>
        <v>0.557015503555469</v>
      </c>
      <c r="P163" s="25" t="n">
        <f aca="false">(F163^2-G163^2)/1029.4</f>
        <v>0.00652401787449</v>
      </c>
      <c r="Q163" s="26" t="n">
        <f aca="false">P163*J163</f>
        <v>0.204593200544006</v>
      </c>
    </row>
    <row r="164" customFormat="false" ht="15" hidden="false" customHeight="true" outlineLevel="0" collapsed="false">
      <c r="A164" s="22" t="n">
        <v>163</v>
      </c>
      <c r="B164" s="22" t="n">
        <v>156</v>
      </c>
      <c r="C164" s="22" t="n">
        <v>41</v>
      </c>
      <c r="D164" s="22" t="s">
        <v>178</v>
      </c>
      <c r="E164" s="22" t="s">
        <v>179</v>
      </c>
      <c r="F164" s="23" t="n">
        <v>5</v>
      </c>
      <c r="G164" s="23" t="n">
        <v>4.276</v>
      </c>
      <c r="H164" s="20" t="n">
        <v>19.5</v>
      </c>
      <c r="I164" s="22" t="s">
        <v>180</v>
      </c>
      <c r="J164" s="20" t="n">
        <v>31.52</v>
      </c>
      <c r="K164" s="24" t="n">
        <f aca="false">K163+J164</f>
        <v>4975.17</v>
      </c>
      <c r="L164" s="24" t="n">
        <f aca="false">Well_Data!$B$10-K164</f>
        <v>7524.83</v>
      </c>
      <c r="M164" s="24" t="n">
        <f aca="false">Well_Data!$B$10-K164+J164</f>
        <v>7556.35</v>
      </c>
      <c r="N164" s="25" t="n">
        <f aca="false">G164^2/1029.4</f>
        <v>0.0177619739654167</v>
      </c>
      <c r="O164" s="26" t="n">
        <f aca="false">N164*J164</f>
        <v>0.559857419389936</v>
      </c>
      <c r="P164" s="25" t="n">
        <f aca="false">(F164^2-G164^2)/1029.4</f>
        <v>0.00652401787449</v>
      </c>
      <c r="Q164" s="26" t="n">
        <f aca="false">P164*J164</f>
        <v>0.205637043403925</v>
      </c>
    </row>
    <row r="165" customFormat="false" ht="15" hidden="false" customHeight="true" outlineLevel="0" collapsed="false">
      <c r="A165" s="22" t="n">
        <v>164</v>
      </c>
      <c r="B165" s="22" t="n">
        <v>157</v>
      </c>
      <c r="C165" s="22" t="n">
        <v>42</v>
      </c>
      <c r="D165" s="22" t="s">
        <v>178</v>
      </c>
      <c r="E165" s="22" t="s">
        <v>179</v>
      </c>
      <c r="F165" s="23" t="n">
        <v>5</v>
      </c>
      <c r="G165" s="23" t="n">
        <v>4.276</v>
      </c>
      <c r="H165" s="20" t="n">
        <v>19.5</v>
      </c>
      <c r="I165" s="22" t="s">
        <v>180</v>
      </c>
      <c r="J165" s="20" t="n">
        <v>31.18</v>
      </c>
      <c r="K165" s="24" t="n">
        <f aca="false">K164+J165</f>
        <v>5006.35</v>
      </c>
      <c r="L165" s="24" t="n">
        <f aca="false">Well_Data!$B$10-K165</f>
        <v>7493.65</v>
      </c>
      <c r="M165" s="24" t="n">
        <f aca="false">Well_Data!$B$10-K165+J165</f>
        <v>7524.83</v>
      </c>
      <c r="N165" s="25" t="n">
        <f aca="false">G165^2/1029.4</f>
        <v>0.0177619739654167</v>
      </c>
      <c r="O165" s="26" t="n">
        <f aca="false">N165*J165</f>
        <v>0.553818348241694</v>
      </c>
      <c r="P165" s="25" t="n">
        <f aca="false">(F165^2-G165^2)/1029.4</f>
        <v>0.00652401787449</v>
      </c>
      <c r="Q165" s="26" t="n">
        <f aca="false">P165*J165</f>
        <v>0.203418877326598</v>
      </c>
    </row>
    <row r="166" customFormat="false" ht="15" hidden="false" customHeight="true" outlineLevel="0" collapsed="false">
      <c r="A166" s="22" t="n">
        <v>165</v>
      </c>
      <c r="B166" s="22" t="n">
        <v>158</v>
      </c>
      <c r="C166" s="22" t="n">
        <v>42</v>
      </c>
      <c r="D166" s="22" t="s">
        <v>178</v>
      </c>
      <c r="E166" s="22" t="s">
        <v>179</v>
      </c>
      <c r="F166" s="23" t="n">
        <v>5</v>
      </c>
      <c r="G166" s="23" t="n">
        <v>4.276</v>
      </c>
      <c r="H166" s="20" t="n">
        <v>19.5</v>
      </c>
      <c r="I166" s="22" t="s">
        <v>180</v>
      </c>
      <c r="J166" s="20" t="n">
        <v>31.02</v>
      </c>
      <c r="K166" s="24" t="n">
        <f aca="false">K165+J166</f>
        <v>5037.37</v>
      </c>
      <c r="L166" s="24" t="n">
        <f aca="false">Well_Data!$B$10-K166</f>
        <v>7462.63</v>
      </c>
      <c r="M166" s="24" t="n">
        <f aca="false">Well_Data!$B$10-K166+J166</f>
        <v>7493.65</v>
      </c>
      <c r="N166" s="25" t="n">
        <f aca="false">G166^2/1029.4</f>
        <v>0.0177619739654167</v>
      </c>
      <c r="O166" s="26" t="n">
        <f aca="false">N166*J166</f>
        <v>0.550976432407227</v>
      </c>
      <c r="P166" s="25" t="n">
        <f aca="false">(F166^2-G166^2)/1029.4</f>
        <v>0.00652401787449</v>
      </c>
      <c r="Q166" s="26" t="n">
        <f aca="false">P166*J166</f>
        <v>0.20237503446668</v>
      </c>
    </row>
    <row r="167" customFormat="false" ht="15" hidden="false" customHeight="true" outlineLevel="0" collapsed="false">
      <c r="A167" s="22" t="n">
        <v>166</v>
      </c>
      <c r="B167" s="22" t="n">
        <v>159</v>
      </c>
      <c r="C167" s="22" t="n">
        <v>42</v>
      </c>
      <c r="D167" s="22" t="s">
        <v>178</v>
      </c>
      <c r="E167" s="22" t="s">
        <v>179</v>
      </c>
      <c r="F167" s="23" t="n">
        <v>5</v>
      </c>
      <c r="G167" s="23" t="n">
        <v>4.276</v>
      </c>
      <c r="H167" s="20" t="n">
        <v>19.5</v>
      </c>
      <c r="I167" s="22" t="s">
        <v>180</v>
      </c>
      <c r="J167" s="20" t="n">
        <v>31.48</v>
      </c>
      <c r="K167" s="24" t="n">
        <f aca="false">K166+J167</f>
        <v>5068.85</v>
      </c>
      <c r="L167" s="24" t="n">
        <f aca="false">Well_Data!$B$10-K167</f>
        <v>7431.15</v>
      </c>
      <c r="M167" s="24" t="n">
        <f aca="false">Well_Data!$B$10-K167+J167</f>
        <v>7462.63</v>
      </c>
      <c r="N167" s="25" t="n">
        <f aca="false">G167^2/1029.4</f>
        <v>0.0177619739654167</v>
      </c>
      <c r="O167" s="26" t="n">
        <f aca="false">N167*J167</f>
        <v>0.559146940431319</v>
      </c>
      <c r="P167" s="25" t="n">
        <f aca="false">(F167^2-G167^2)/1029.4</f>
        <v>0.00652401787449</v>
      </c>
      <c r="Q167" s="26" t="n">
        <f aca="false">P167*J167</f>
        <v>0.205376082688945</v>
      </c>
    </row>
    <row r="168" customFormat="false" ht="15" hidden="false" customHeight="true" outlineLevel="0" collapsed="false">
      <c r="A168" s="22" t="n">
        <v>167</v>
      </c>
      <c r="B168" s="22" t="n">
        <v>160</v>
      </c>
      <c r="C168" s="22" t="n">
        <v>43</v>
      </c>
      <c r="D168" s="22" t="s">
        <v>178</v>
      </c>
      <c r="E168" s="22" t="s">
        <v>179</v>
      </c>
      <c r="F168" s="23" t="n">
        <v>5</v>
      </c>
      <c r="G168" s="23" t="n">
        <v>4.276</v>
      </c>
      <c r="H168" s="20" t="n">
        <v>19.5</v>
      </c>
      <c r="I168" s="22" t="s">
        <v>180</v>
      </c>
      <c r="J168" s="20" t="n">
        <v>31.1</v>
      </c>
      <c r="K168" s="24" t="n">
        <f aca="false">K167+J168</f>
        <v>5099.95</v>
      </c>
      <c r="L168" s="24" t="n">
        <f aca="false">Well_Data!$B$10-K168</f>
        <v>7400.05</v>
      </c>
      <c r="M168" s="24" t="n">
        <f aca="false">Well_Data!$B$10-K168+J168</f>
        <v>7431.15</v>
      </c>
      <c r="N168" s="25" t="n">
        <f aca="false">G168^2/1029.4</f>
        <v>0.0177619739654167</v>
      </c>
      <c r="O168" s="26" t="n">
        <f aca="false">N168*J168</f>
        <v>0.552397390324461</v>
      </c>
      <c r="P168" s="25" t="n">
        <f aca="false">(F168^2-G168^2)/1029.4</f>
        <v>0.00652401787449</v>
      </c>
      <c r="Q168" s="26" t="n">
        <f aca="false">P168*J168</f>
        <v>0.202896955896639</v>
      </c>
    </row>
    <row r="169" customFormat="false" ht="15" hidden="false" customHeight="true" outlineLevel="0" collapsed="false">
      <c r="A169" s="22" t="n">
        <v>168</v>
      </c>
      <c r="B169" s="22" t="n">
        <v>161</v>
      </c>
      <c r="C169" s="22" t="n">
        <v>43</v>
      </c>
      <c r="D169" s="22" t="s">
        <v>178</v>
      </c>
      <c r="E169" s="22" t="s">
        <v>179</v>
      </c>
      <c r="F169" s="23" t="n">
        <v>5</v>
      </c>
      <c r="G169" s="23" t="n">
        <v>4.276</v>
      </c>
      <c r="H169" s="20" t="n">
        <v>19.5</v>
      </c>
      <c r="I169" s="22" t="s">
        <v>180</v>
      </c>
      <c r="J169" s="20" t="n">
        <v>31.38</v>
      </c>
      <c r="K169" s="24" t="n">
        <f aca="false">K168+J169</f>
        <v>5131.33</v>
      </c>
      <c r="L169" s="24" t="n">
        <f aca="false">Well_Data!$B$10-K169</f>
        <v>7368.67</v>
      </c>
      <c r="M169" s="24" t="n">
        <f aca="false">Well_Data!$B$10-K169+J169</f>
        <v>7400.05</v>
      </c>
      <c r="N169" s="25" t="n">
        <f aca="false">G169^2/1029.4</f>
        <v>0.0177619739654167</v>
      </c>
      <c r="O169" s="26" t="n">
        <f aca="false">N169*J169</f>
        <v>0.557370743034777</v>
      </c>
      <c r="P169" s="25" t="n">
        <f aca="false">(F169^2-G169^2)/1029.4</f>
        <v>0.00652401787449</v>
      </c>
      <c r="Q169" s="26" t="n">
        <f aca="false">P169*J169</f>
        <v>0.204723680901496</v>
      </c>
    </row>
    <row r="170" customFormat="false" ht="15" hidden="false" customHeight="true" outlineLevel="0" collapsed="false">
      <c r="A170" s="22" t="n">
        <v>169</v>
      </c>
      <c r="B170" s="22" t="n">
        <v>162</v>
      </c>
      <c r="C170" s="22" t="n">
        <v>43</v>
      </c>
      <c r="D170" s="22" t="s">
        <v>178</v>
      </c>
      <c r="E170" s="22" t="s">
        <v>179</v>
      </c>
      <c r="F170" s="23" t="n">
        <v>5</v>
      </c>
      <c r="G170" s="23" t="n">
        <v>4.276</v>
      </c>
      <c r="H170" s="20" t="n">
        <v>19.5</v>
      </c>
      <c r="I170" s="22" t="s">
        <v>180</v>
      </c>
      <c r="J170" s="20" t="n">
        <v>31.11</v>
      </c>
      <c r="K170" s="24" t="n">
        <f aca="false">K169+J170</f>
        <v>5162.44</v>
      </c>
      <c r="L170" s="24" t="n">
        <f aca="false">Well_Data!$B$10-K170</f>
        <v>7337.56</v>
      </c>
      <c r="M170" s="24" t="n">
        <f aca="false">Well_Data!$B$10-K170+J170</f>
        <v>7368.67</v>
      </c>
      <c r="N170" s="25" t="n">
        <f aca="false">G170^2/1029.4</f>
        <v>0.0177619739654167</v>
      </c>
      <c r="O170" s="26" t="n">
        <f aca="false">N170*J170</f>
        <v>0.552575010064115</v>
      </c>
      <c r="P170" s="25" t="n">
        <f aca="false">(F170^2-G170^2)/1029.4</f>
        <v>0.00652401787449</v>
      </c>
      <c r="Q170" s="26" t="n">
        <f aca="false">P170*J170</f>
        <v>0.202962196075384</v>
      </c>
    </row>
    <row r="171" customFormat="false" ht="15" hidden="false" customHeight="true" outlineLevel="0" collapsed="false">
      <c r="A171" s="22" t="n">
        <v>170</v>
      </c>
      <c r="B171" s="22" t="n">
        <v>163</v>
      </c>
      <c r="C171" s="22" t="n">
        <v>44</v>
      </c>
      <c r="D171" s="22" t="s">
        <v>178</v>
      </c>
      <c r="E171" s="22" t="s">
        <v>179</v>
      </c>
      <c r="F171" s="23" t="n">
        <v>5</v>
      </c>
      <c r="G171" s="23" t="n">
        <v>4.276</v>
      </c>
      <c r="H171" s="20" t="n">
        <v>19.5</v>
      </c>
      <c r="I171" s="22" t="s">
        <v>180</v>
      </c>
      <c r="J171" s="20" t="n">
        <v>31.33</v>
      </c>
      <c r="K171" s="24" t="n">
        <f aca="false">K170+J171</f>
        <v>5193.77</v>
      </c>
      <c r="L171" s="24" t="n">
        <f aca="false">Well_Data!$B$10-K171</f>
        <v>7306.23</v>
      </c>
      <c r="M171" s="24" t="n">
        <f aca="false">Well_Data!$B$10-K171+J171</f>
        <v>7337.56</v>
      </c>
      <c r="N171" s="25" t="n">
        <f aca="false">G171^2/1029.4</f>
        <v>0.0177619739654167</v>
      </c>
      <c r="O171" s="26" t="n">
        <f aca="false">N171*J171</f>
        <v>0.556482644336507</v>
      </c>
      <c r="P171" s="25" t="n">
        <f aca="false">(F171^2-G171^2)/1029.4</f>
        <v>0.00652401787449</v>
      </c>
      <c r="Q171" s="26" t="n">
        <f aca="false">P171*J171</f>
        <v>0.204397480007772</v>
      </c>
    </row>
    <row r="172" customFormat="false" ht="15" hidden="false" customHeight="true" outlineLevel="0" collapsed="false">
      <c r="A172" s="22" t="n">
        <v>171</v>
      </c>
      <c r="B172" s="22" t="n">
        <v>164</v>
      </c>
      <c r="C172" s="22" t="n">
        <v>44</v>
      </c>
      <c r="D172" s="22" t="s">
        <v>178</v>
      </c>
      <c r="E172" s="22" t="s">
        <v>179</v>
      </c>
      <c r="F172" s="23" t="n">
        <v>5</v>
      </c>
      <c r="G172" s="23" t="n">
        <v>4.276</v>
      </c>
      <c r="H172" s="20" t="n">
        <v>19.5</v>
      </c>
      <c r="I172" s="22" t="s">
        <v>180</v>
      </c>
      <c r="J172" s="20" t="n">
        <v>31.28</v>
      </c>
      <c r="K172" s="24" t="n">
        <f aca="false">K171+J172</f>
        <v>5225.05</v>
      </c>
      <c r="L172" s="24" t="n">
        <f aca="false">Well_Data!$B$10-K172</f>
        <v>7274.95</v>
      </c>
      <c r="M172" s="24" t="n">
        <f aca="false">Well_Data!$B$10-K172+J172</f>
        <v>7306.23</v>
      </c>
      <c r="N172" s="25" t="n">
        <f aca="false">G172^2/1029.4</f>
        <v>0.0177619739654167</v>
      </c>
      <c r="O172" s="26" t="n">
        <f aca="false">N172*J172</f>
        <v>0.555594545638236</v>
      </c>
      <c r="P172" s="25" t="n">
        <f aca="false">(F172^2-G172^2)/1029.4</f>
        <v>0.00652401787449</v>
      </c>
      <c r="Q172" s="26" t="n">
        <f aca="false">P172*J172</f>
        <v>0.204071279114047</v>
      </c>
    </row>
    <row r="173" customFormat="false" ht="15" hidden="false" customHeight="true" outlineLevel="0" collapsed="false">
      <c r="A173" s="22" t="n">
        <v>172</v>
      </c>
      <c r="B173" s="22" t="n">
        <v>165</v>
      </c>
      <c r="C173" s="22" t="n">
        <v>44</v>
      </c>
      <c r="D173" s="22" t="s">
        <v>178</v>
      </c>
      <c r="E173" s="22" t="s">
        <v>179</v>
      </c>
      <c r="F173" s="23" t="n">
        <v>5</v>
      </c>
      <c r="G173" s="23" t="n">
        <v>4.276</v>
      </c>
      <c r="H173" s="20" t="n">
        <v>19.5</v>
      </c>
      <c r="I173" s="22" t="s">
        <v>180</v>
      </c>
      <c r="J173" s="20" t="n">
        <v>31.25</v>
      </c>
      <c r="K173" s="24" t="n">
        <f aca="false">K172+J173</f>
        <v>5256.3</v>
      </c>
      <c r="L173" s="24" t="n">
        <f aca="false">Well_Data!$B$10-K173</f>
        <v>7243.7</v>
      </c>
      <c r="M173" s="24" t="n">
        <f aca="false">Well_Data!$B$10-K173+J173</f>
        <v>7274.95</v>
      </c>
      <c r="N173" s="25" t="n">
        <f aca="false">G173^2/1029.4</f>
        <v>0.0177619739654167</v>
      </c>
      <c r="O173" s="26" t="n">
        <f aca="false">N173*J173</f>
        <v>0.555061686419273</v>
      </c>
      <c r="P173" s="25" t="n">
        <f aca="false">(F173^2-G173^2)/1029.4</f>
        <v>0.00652401787449</v>
      </c>
      <c r="Q173" s="26" t="n">
        <f aca="false">P173*J173</f>
        <v>0.203875558577812</v>
      </c>
    </row>
    <row r="174" customFormat="false" ht="15" hidden="false" customHeight="true" outlineLevel="0" collapsed="false">
      <c r="A174" s="22" t="n">
        <v>173</v>
      </c>
      <c r="B174" s="22" t="n">
        <v>166</v>
      </c>
      <c r="C174" s="22" t="n">
        <v>45</v>
      </c>
      <c r="D174" s="22" t="s">
        <v>178</v>
      </c>
      <c r="E174" s="22" t="s">
        <v>179</v>
      </c>
      <c r="F174" s="23" t="n">
        <v>5</v>
      </c>
      <c r="G174" s="23" t="n">
        <v>4.276</v>
      </c>
      <c r="H174" s="20" t="n">
        <v>19.5</v>
      </c>
      <c r="I174" s="22" t="s">
        <v>180</v>
      </c>
      <c r="J174" s="20" t="n">
        <v>31.36</v>
      </c>
      <c r="K174" s="24" t="n">
        <f aca="false">K173+J174</f>
        <v>5287.66</v>
      </c>
      <c r="L174" s="24" t="n">
        <f aca="false">Well_Data!$B$10-K174</f>
        <v>7212.34</v>
      </c>
      <c r="M174" s="24" t="n">
        <f aca="false">Well_Data!$B$10-K174+J174</f>
        <v>7243.7</v>
      </c>
      <c r="N174" s="25" t="n">
        <f aca="false">G174^2/1029.4</f>
        <v>0.0177619739654167</v>
      </c>
      <c r="O174" s="26" t="n">
        <f aca="false">N174*J174</f>
        <v>0.557015503555469</v>
      </c>
      <c r="P174" s="25" t="n">
        <f aca="false">(F174^2-G174^2)/1029.4</f>
        <v>0.00652401787449</v>
      </c>
      <c r="Q174" s="26" t="n">
        <f aca="false">P174*J174</f>
        <v>0.204593200544006</v>
      </c>
    </row>
    <row r="175" customFormat="false" ht="15" hidden="false" customHeight="true" outlineLevel="0" collapsed="false">
      <c r="A175" s="22" t="n">
        <v>174</v>
      </c>
      <c r="B175" s="22" t="n">
        <v>167</v>
      </c>
      <c r="C175" s="22" t="n">
        <v>45</v>
      </c>
      <c r="D175" s="22" t="s">
        <v>178</v>
      </c>
      <c r="E175" s="22" t="s">
        <v>179</v>
      </c>
      <c r="F175" s="23" t="n">
        <v>5</v>
      </c>
      <c r="G175" s="23" t="n">
        <v>4.276</v>
      </c>
      <c r="H175" s="20" t="n">
        <v>19.5</v>
      </c>
      <c r="I175" s="22" t="s">
        <v>180</v>
      </c>
      <c r="J175" s="20" t="n">
        <v>31.29</v>
      </c>
      <c r="K175" s="24" t="n">
        <f aca="false">K174+J175</f>
        <v>5318.95</v>
      </c>
      <c r="L175" s="24" t="n">
        <f aca="false">Well_Data!$B$10-K175</f>
        <v>7181.05</v>
      </c>
      <c r="M175" s="24" t="n">
        <f aca="false">Well_Data!$B$10-K175+J175</f>
        <v>7212.34</v>
      </c>
      <c r="N175" s="25" t="n">
        <f aca="false">G175^2/1029.4</f>
        <v>0.0177619739654167</v>
      </c>
      <c r="O175" s="26" t="n">
        <f aca="false">N175*J175</f>
        <v>0.55577216537789</v>
      </c>
      <c r="P175" s="25" t="n">
        <f aca="false">(F175^2-G175^2)/1029.4</f>
        <v>0.00652401787449</v>
      </c>
      <c r="Q175" s="26" t="n">
        <f aca="false">P175*J175</f>
        <v>0.204136519292792</v>
      </c>
    </row>
    <row r="176" customFormat="false" ht="15" hidden="false" customHeight="true" outlineLevel="0" collapsed="false">
      <c r="A176" s="22" t="n">
        <v>175</v>
      </c>
      <c r="B176" s="22" t="n">
        <v>168</v>
      </c>
      <c r="C176" s="22" t="n">
        <v>45</v>
      </c>
      <c r="D176" s="22" t="s">
        <v>178</v>
      </c>
      <c r="E176" s="22" t="s">
        <v>179</v>
      </c>
      <c r="F176" s="23" t="n">
        <v>5</v>
      </c>
      <c r="G176" s="23" t="n">
        <v>4.276</v>
      </c>
      <c r="H176" s="20" t="n">
        <v>19.5</v>
      </c>
      <c r="I176" s="22" t="s">
        <v>180</v>
      </c>
      <c r="J176" s="20" t="n">
        <v>30.78</v>
      </c>
      <c r="K176" s="24" t="n">
        <f aca="false">K175+J176</f>
        <v>5349.73</v>
      </c>
      <c r="L176" s="24" t="n">
        <f aca="false">Well_Data!$B$10-K176</f>
        <v>7150.27</v>
      </c>
      <c r="M176" s="24" t="n">
        <f aca="false">Well_Data!$B$10-K176+J176</f>
        <v>7181.05</v>
      </c>
      <c r="N176" s="25" t="n">
        <f aca="false">G176^2/1029.4</f>
        <v>0.0177619739654167</v>
      </c>
      <c r="O176" s="26" t="n">
        <f aca="false">N176*J176</f>
        <v>0.546713558655527</v>
      </c>
      <c r="P176" s="25" t="n">
        <f aca="false">(F176^2-G176^2)/1029.4</f>
        <v>0.00652401787449</v>
      </c>
      <c r="Q176" s="26" t="n">
        <f aca="false">P176*J176</f>
        <v>0.200809270176802</v>
      </c>
    </row>
    <row r="177" customFormat="false" ht="15" hidden="false" customHeight="true" outlineLevel="0" collapsed="false">
      <c r="A177" s="22" t="n">
        <v>176</v>
      </c>
      <c r="B177" s="22" t="n">
        <v>169</v>
      </c>
      <c r="C177" s="22" t="n">
        <v>46</v>
      </c>
      <c r="D177" s="22" t="s">
        <v>178</v>
      </c>
      <c r="E177" s="22" t="s">
        <v>179</v>
      </c>
      <c r="F177" s="23" t="n">
        <v>5</v>
      </c>
      <c r="G177" s="23" t="n">
        <v>4.276</v>
      </c>
      <c r="H177" s="20" t="n">
        <v>19.5</v>
      </c>
      <c r="I177" s="22" t="s">
        <v>180</v>
      </c>
      <c r="J177" s="20" t="n">
        <v>31.27</v>
      </c>
      <c r="K177" s="24" t="n">
        <f aca="false">K176+J177</f>
        <v>5381</v>
      </c>
      <c r="L177" s="24" t="n">
        <f aca="false">Well_Data!$B$10-K177</f>
        <v>7119</v>
      </c>
      <c r="M177" s="24" t="n">
        <f aca="false">Well_Data!$B$10-K177+J177</f>
        <v>7150.27</v>
      </c>
      <c r="N177" s="25" t="n">
        <f aca="false">G177^2/1029.4</f>
        <v>0.0177619739654167</v>
      </c>
      <c r="O177" s="26" t="n">
        <f aca="false">N177*J177</f>
        <v>0.555416925898582</v>
      </c>
      <c r="P177" s="25" t="n">
        <f aca="false">(F177^2-G177^2)/1029.4</f>
        <v>0.00652401787449</v>
      </c>
      <c r="Q177" s="26" t="n">
        <f aca="false">P177*J177</f>
        <v>0.204006038935302</v>
      </c>
    </row>
    <row r="178" customFormat="false" ht="15" hidden="false" customHeight="true" outlineLevel="0" collapsed="false">
      <c r="A178" s="22" t="n">
        <v>177</v>
      </c>
      <c r="B178" s="22" t="n">
        <v>170</v>
      </c>
      <c r="C178" s="22" t="n">
        <v>46</v>
      </c>
      <c r="D178" s="22" t="s">
        <v>178</v>
      </c>
      <c r="E178" s="22" t="s">
        <v>179</v>
      </c>
      <c r="F178" s="23" t="n">
        <v>5</v>
      </c>
      <c r="G178" s="23" t="n">
        <v>4.276</v>
      </c>
      <c r="H178" s="20" t="n">
        <v>19.5</v>
      </c>
      <c r="I178" s="22" t="s">
        <v>180</v>
      </c>
      <c r="J178" s="20" t="n">
        <v>31.42</v>
      </c>
      <c r="K178" s="24" t="n">
        <f aca="false">K177+J178</f>
        <v>5412.42</v>
      </c>
      <c r="L178" s="24" t="n">
        <f aca="false">Well_Data!$B$10-K178</f>
        <v>7087.58</v>
      </c>
      <c r="M178" s="24" t="n">
        <f aca="false">Well_Data!$B$10-K178+J178</f>
        <v>7119</v>
      </c>
      <c r="N178" s="25" t="n">
        <f aca="false">G178^2/1029.4</f>
        <v>0.0177619739654167</v>
      </c>
      <c r="O178" s="26" t="n">
        <f aca="false">N178*J178</f>
        <v>0.558081221993394</v>
      </c>
      <c r="P178" s="25" t="n">
        <f aca="false">(F178^2-G178^2)/1029.4</f>
        <v>0.00652401787449</v>
      </c>
      <c r="Q178" s="26" t="n">
        <f aca="false">P178*J178</f>
        <v>0.204984641616476</v>
      </c>
    </row>
    <row r="179" customFormat="false" ht="15" hidden="false" customHeight="true" outlineLevel="0" collapsed="false">
      <c r="A179" s="22" t="n">
        <v>178</v>
      </c>
      <c r="B179" s="22" t="n">
        <v>171</v>
      </c>
      <c r="C179" s="22" t="n">
        <v>46</v>
      </c>
      <c r="D179" s="22" t="s">
        <v>178</v>
      </c>
      <c r="E179" s="22" t="s">
        <v>179</v>
      </c>
      <c r="F179" s="23" t="n">
        <v>5</v>
      </c>
      <c r="G179" s="23" t="n">
        <v>4.276</v>
      </c>
      <c r="H179" s="20" t="n">
        <v>19.5</v>
      </c>
      <c r="I179" s="22" t="s">
        <v>180</v>
      </c>
      <c r="J179" s="20" t="n">
        <v>30.93</v>
      </c>
      <c r="K179" s="24" t="n">
        <f aca="false">K178+J179</f>
        <v>5443.35</v>
      </c>
      <c r="L179" s="24" t="n">
        <f aca="false">Well_Data!$B$10-K179</f>
        <v>7056.65</v>
      </c>
      <c r="M179" s="24" t="n">
        <f aca="false">Well_Data!$B$10-K179+J179</f>
        <v>7087.58</v>
      </c>
      <c r="N179" s="25" t="n">
        <f aca="false">G179^2/1029.4</f>
        <v>0.0177619739654167</v>
      </c>
      <c r="O179" s="26" t="n">
        <f aca="false">N179*J179</f>
        <v>0.54937785475034</v>
      </c>
      <c r="P179" s="25" t="n">
        <f aca="false">(F179^2-G179^2)/1029.4</f>
        <v>0.00652401787449</v>
      </c>
      <c r="Q179" s="26" t="n">
        <f aca="false">P179*J179</f>
        <v>0.201787872857976</v>
      </c>
    </row>
    <row r="180" customFormat="false" ht="15" hidden="false" customHeight="true" outlineLevel="0" collapsed="false">
      <c r="A180" s="22" t="n">
        <v>179</v>
      </c>
      <c r="B180" s="22" t="n">
        <v>172</v>
      </c>
      <c r="C180" s="22" t="n">
        <v>47</v>
      </c>
      <c r="D180" s="22" t="s">
        <v>178</v>
      </c>
      <c r="E180" s="22" t="s">
        <v>179</v>
      </c>
      <c r="F180" s="23" t="n">
        <v>5</v>
      </c>
      <c r="G180" s="23" t="n">
        <v>4.276</v>
      </c>
      <c r="H180" s="20" t="n">
        <v>19.5</v>
      </c>
      <c r="I180" s="22" t="s">
        <v>180</v>
      </c>
      <c r="J180" s="20" t="n">
        <v>31.53</v>
      </c>
      <c r="K180" s="24" t="n">
        <f aca="false">K179+J180</f>
        <v>5474.88</v>
      </c>
      <c r="L180" s="24" t="n">
        <f aca="false">Well_Data!$B$10-K180</f>
        <v>7025.12</v>
      </c>
      <c r="M180" s="24" t="n">
        <f aca="false">Well_Data!$B$10-K180+J180</f>
        <v>7056.65</v>
      </c>
      <c r="N180" s="25" t="n">
        <f aca="false">G180^2/1029.4</f>
        <v>0.0177619739654167</v>
      </c>
      <c r="O180" s="26" t="n">
        <f aca="false">N180*J180</f>
        <v>0.56003503912959</v>
      </c>
      <c r="P180" s="25" t="n">
        <f aca="false">(F180^2-G180^2)/1029.4</f>
        <v>0.00652401787449</v>
      </c>
      <c r="Q180" s="26" t="n">
        <f aca="false">P180*J180</f>
        <v>0.20570228358267</v>
      </c>
    </row>
    <row r="181" customFormat="false" ht="15" hidden="false" customHeight="true" outlineLevel="0" collapsed="false">
      <c r="A181" s="22" t="n">
        <v>180</v>
      </c>
      <c r="B181" s="22" t="n">
        <v>173</v>
      </c>
      <c r="C181" s="22" t="n">
        <v>47</v>
      </c>
      <c r="D181" s="22" t="s">
        <v>178</v>
      </c>
      <c r="E181" s="22" t="s">
        <v>179</v>
      </c>
      <c r="F181" s="23" t="n">
        <v>5</v>
      </c>
      <c r="G181" s="23" t="n">
        <v>4.276</v>
      </c>
      <c r="H181" s="20" t="n">
        <v>19.5</v>
      </c>
      <c r="I181" s="22" t="s">
        <v>180</v>
      </c>
      <c r="J181" s="20" t="n">
        <v>31.02</v>
      </c>
      <c r="K181" s="24" t="n">
        <f aca="false">K180+J181</f>
        <v>5505.9</v>
      </c>
      <c r="L181" s="24" t="n">
        <f aca="false">Well_Data!$B$10-K181</f>
        <v>6994.1</v>
      </c>
      <c r="M181" s="24" t="n">
        <f aca="false">Well_Data!$B$10-K181+J181</f>
        <v>7025.12</v>
      </c>
      <c r="N181" s="25" t="n">
        <f aca="false">G181^2/1029.4</f>
        <v>0.0177619739654167</v>
      </c>
      <c r="O181" s="26" t="n">
        <f aca="false">N181*J181</f>
        <v>0.550976432407227</v>
      </c>
      <c r="P181" s="25" t="n">
        <f aca="false">(F181^2-G181^2)/1029.4</f>
        <v>0.00652401787449</v>
      </c>
      <c r="Q181" s="26" t="n">
        <f aca="false">P181*J181</f>
        <v>0.20237503446668</v>
      </c>
    </row>
    <row r="182" customFormat="false" ht="15" hidden="false" customHeight="true" outlineLevel="0" collapsed="false">
      <c r="A182" s="22" t="n">
        <v>181</v>
      </c>
      <c r="B182" s="22" t="n">
        <v>174</v>
      </c>
      <c r="C182" s="22" t="n">
        <v>47</v>
      </c>
      <c r="D182" s="22" t="s">
        <v>178</v>
      </c>
      <c r="E182" s="22" t="s">
        <v>179</v>
      </c>
      <c r="F182" s="23" t="n">
        <v>5</v>
      </c>
      <c r="G182" s="23" t="n">
        <v>4.276</v>
      </c>
      <c r="H182" s="20" t="n">
        <v>19.5</v>
      </c>
      <c r="I182" s="22" t="s">
        <v>180</v>
      </c>
      <c r="J182" s="20" t="n">
        <v>31.39</v>
      </c>
      <c r="K182" s="24" t="n">
        <f aca="false">K181+J182</f>
        <v>5537.29</v>
      </c>
      <c r="L182" s="24" t="n">
        <f aca="false">Well_Data!$B$10-K182</f>
        <v>6962.71</v>
      </c>
      <c r="M182" s="24" t="n">
        <f aca="false">Well_Data!$B$10-K182+J182</f>
        <v>6994.1</v>
      </c>
      <c r="N182" s="25" t="n">
        <f aca="false">G182^2/1029.4</f>
        <v>0.0177619739654167</v>
      </c>
      <c r="O182" s="26" t="n">
        <f aca="false">N182*J182</f>
        <v>0.557548362774432</v>
      </c>
      <c r="P182" s="25" t="n">
        <f aca="false">(F182^2-G182^2)/1029.4</f>
        <v>0.00652401787449</v>
      </c>
      <c r="Q182" s="26" t="n">
        <f aca="false">P182*J182</f>
        <v>0.204788921080241</v>
      </c>
    </row>
    <row r="183" customFormat="false" ht="15" hidden="false" customHeight="true" outlineLevel="0" collapsed="false">
      <c r="A183" s="22" t="n">
        <v>182</v>
      </c>
      <c r="B183" s="22" t="n">
        <v>175</v>
      </c>
      <c r="C183" s="22" t="n">
        <v>48</v>
      </c>
      <c r="D183" s="22" t="s">
        <v>178</v>
      </c>
      <c r="E183" s="22" t="s">
        <v>179</v>
      </c>
      <c r="F183" s="23" t="n">
        <v>5</v>
      </c>
      <c r="G183" s="23" t="n">
        <v>4.276</v>
      </c>
      <c r="H183" s="20" t="n">
        <v>19.5</v>
      </c>
      <c r="I183" s="22" t="s">
        <v>180</v>
      </c>
      <c r="J183" s="20" t="n">
        <v>31.01</v>
      </c>
      <c r="K183" s="24" t="n">
        <f aca="false">K182+J183</f>
        <v>5568.3</v>
      </c>
      <c r="L183" s="24" t="n">
        <f aca="false">Well_Data!$B$10-K183</f>
        <v>6931.7</v>
      </c>
      <c r="M183" s="24" t="n">
        <f aca="false">Well_Data!$B$10-K183+J183</f>
        <v>6962.71</v>
      </c>
      <c r="N183" s="25" t="n">
        <f aca="false">G183^2/1029.4</f>
        <v>0.0177619739654167</v>
      </c>
      <c r="O183" s="26" t="n">
        <f aca="false">N183*J183</f>
        <v>0.550798812667573</v>
      </c>
      <c r="P183" s="25" t="n">
        <f aca="false">(F183^2-G183^2)/1029.4</f>
        <v>0.00652401787449</v>
      </c>
      <c r="Q183" s="26" t="n">
        <f aca="false">P183*J183</f>
        <v>0.202309794287935</v>
      </c>
    </row>
    <row r="184" customFormat="false" ht="15" hidden="false" customHeight="true" outlineLevel="0" collapsed="false">
      <c r="A184" s="22" t="n">
        <v>183</v>
      </c>
      <c r="B184" s="22" t="n">
        <v>176</v>
      </c>
      <c r="C184" s="22" t="n">
        <v>48</v>
      </c>
      <c r="D184" s="22" t="s">
        <v>178</v>
      </c>
      <c r="E184" s="22" t="s">
        <v>179</v>
      </c>
      <c r="F184" s="23" t="n">
        <v>5</v>
      </c>
      <c r="G184" s="23" t="n">
        <v>4.276</v>
      </c>
      <c r="H184" s="20" t="n">
        <v>19.5</v>
      </c>
      <c r="I184" s="22" t="s">
        <v>180</v>
      </c>
      <c r="J184" s="20" t="n">
        <v>31.19</v>
      </c>
      <c r="K184" s="24" t="n">
        <f aca="false">K183+J184</f>
        <v>5599.49</v>
      </c>
      <c r="L184" s="24" t="n">
        <f aca="false">Well_Data!$B$10-K184</f>
        <v>6900.51</v>
      </c>
      <c r="M184" s="24" t="n">
        <f aca="false">Well_Data!$B$10-K184+J184</f>
        <v>6931.7</v>
      </c>
      <c r="N184" s="25" t="n">
        <f aca="false">G184^2/1029.4</f>
        <v>0.0177619739654167</v>
      </c>
      <c r="O184" s="26" t="n">
        <f aca="false">N184*J184</f>
        <v>0.553995967981348</v>
      </c>
      <c r="P184" s="25" t="n">
        <f aca="false">(F184^2-G184^2)/1029.4</f>
        <v>0.00652401787449</v>
      </c>
      <c r="Q184" s="26" t="n">
        <f aca="false">P184*J184</f>
        <v>0.203484117505343</v>
      </c>
    </row>
    <row r="185" customFormat="false" ht="15" hidden="false" customHeight="true" outlineLevel="0" collapsed="false">
      <c r="A185" s="22" t="n">
        <v>184</v>
      </c>
      <c r="B185" s="22" t="n">
        <v>177</v>
      </c>
      <c r="C185" s="22" t="n">
        <v>48</v>
      </c>
      <c r="D185" s="22" t="s">
        <v>178</v>
      </c>
      <c r="E185" s="22" t="s">
        <v>179</v>
      </c>
      <c r="F185" s="23" t="n">
        <v>5</v>
      </c>
      <c r="G185" s="23" t="n">
        <v>4.276</v>
      </c>
      <c r="H185" s="20" t="n">
        <v>19.5</v>
      </c>
      <c r="I185" s="22" t="s">
        <v>180</v>
      </c>
      <c r="J185" s="20" t="n">
        <v>31.27</v>
      </c>
      <c r="K185" s="24" t="n">
        <f aca="false">K184+J185</f>
        <v>5630.76</v>
      </c>
      <c r="L185" s="24" t="n">
        <f aca="false">Well_Data!$B$10-K185</f>
        <v>6869.24</v>
      </c>
      <c r="M185" s="24" t="n">
        <f aca="false">Well_Data!$B$10-K185+J185</f>
        <v>6900.51</v>
      </c>
      <c r="N185" s="25" t="n">
        <f aca="false">G185^2/1029.4</f>
        <v>0.0177619739654167</v>
      </c>
      <c r="O185" s="26" t="n">
        <f aca="false">N185*J185</f>
        <v>0.555416925898582</v>
      </c>
      <c r="P185" s="25" t="n">
        <f aca="false">(F185^2-G185^2)/1029.4</f>
        <v>0.00652401787449</v>
      </c>
      <c r="Q185" s="26" t="n">
        <f aca="false">P185*J185</f>
        <v>0.204006038935302</v>
      </c>
    </row>
    <row r="186" customFormat="false" ht="15" hidden="false" customHeight="true" outlineLevel="0" collapsed="false">
      <c r="A186" s="22" t="n">
        <v>185</v>
      </c>
      <c r="B186" s="22" t="n">
        <v>178</v>
      </c>
      <c r="C186" s="22" t="n">
        <v>49</v>
      </c>
      <c r="D186" s="22" t="s">
        <v>178</v>
      </c>
      <c r="E186" s="22" t="s">
        <v>179</v>
      </c>
      <c r="F186" s="23" t="n">
        <v>5</v>
      </c>
      <c r="G186" s="23" t="n">
        <v>4.276</v>
      </c>
      <c r="H186" s="20" t="n">
        <v>19.5</v>
      </c>
      <c r="I186" s="22" t="s">
        <v>180</v>
      </c>
      <c r="J186" s="20" t="n">
        <v>31.39</v>
      </c>
      <c r="K186" s="24" t="n">
        <f aca="false">K185+J186</f>
        <v>5662.15</v>
      </c>
      <c r="L186" s="24" t="n">
        <f aca="false">Well_Data!$B$10-K186</f>
        <v>6837.85</v>
      </c>
      <c r="M186" s="24" t="n">
        <f aca="false">Well_Data!$B$10-K186+J186</f>
        <v>6869.24</v>
      </c>
      <c r="N186" s="25" t="n">
        <f aca="false">G186^2/1029.4</f>
        <v>0.0177619739654167</v>
      </c>
      <c r="O186" s="26" t="n">
        <f aca="false">N186*J186</f>
        <v>0.557548362774432</v>
      </c>
      <c r="P186" s="25" t="n">
        <f aca="false">(F186^2-G186^2)/1029.4</f>
        <v>0.00652401787449</v>
      </c>
      <c r="Q186" s="26" t="n">
        <f aca="false">P186*J186</f>
        <v>0.204788921080241</v>
      </c>
    </row>
    <row r="187" customFormat="false" ht="15" hidden="false" customHeight="true" outlineLevel="0" collapsed="false">
      <c r="A187" s="22" t="n">
        <v>186</v>
      </c>
      <c r="B187" s="22" t="n">
        <v>179</v>
      </c>
      <c r="C187" s="22" t="n">
        <v>49</v>
      </c>
      <c r="D187" s="22" t="s">
        <v>178</v>
      </c>
      <c r="E187" s="22" t="s">
        <v>179</v>
      </c>
      <c r="F187" s="23" t="n">
        <v>5</v>
      </c>
      <c r="G187" s="23" t="n">
        <v>4.276</v>
      </c>
      <c r="H187" s="20" t="n">
        <v>19.5</v>
      </c>
      <c r="I187" s="22" t="s">
        <v>180</v>
      </c>
      <c r="J187" s="20" t="n">
        <v>30.98</v>
      </c>
      <c r="K187" s="24" t="n">
        <f aca="false">K186+J187</f>
        <v>5693.13</v>
      </c>
      <c r="L187" s="24" t="n">
        <f aca="false">Well_Data!$B$10-K187</f>
        <v>6806.87</v>
      </c>
      <c r="M187" s="24" t="n">
        <f aca="false">Well_Data!$B$10-K187+J187</f>
        <v>6837.85</v>
      </c>
      <c r="N187" s="25" t="n">
        <f aca="false">G187^2/1029.4</f>
        <v>0.0177619739654167</v>
      </c>
      <c r="O187" s="26" t="n">
        <f aca="false">N187*J187</f>
        <v>0.550265953448611</v>
      </c>
      <c r="P187" s="25" t="n">
        <f aca="false">(F187^2-G187^2)/1029.4</f>
        <v>0.00652401787449</v>
      </c>
      <c r="Q187" s="26" t="n">
        <f aca="false">P187*J187</f>
        <v>0.2021140737517</v>
      </c>
    </row>
    <row r="188" customFormat="false" ht="15" hidden="false" customHeight="true" outlineLevel="0" collapsed="false">
      <c r="A188" s="22" t="n">
        <v>187</v>
      </c>
      <c r="B188" s="22" t="n">
        <v>180</v>
      </c>
      <c r="C188" s="22" t="n">
        <v>49</v>
      </c>
      <c r="D188" s="22" t="s">
        <v>178</v>
      </c>
      <c r="E188" s="22" t="s">
        <v>179</v>
      </c>
      <c r="F188" s="23" t="n">
        <v>5</v>
      </c>
      <c r="G188" s="23" t="n">
        <v>4.276</v>
      </c>
      <c r="H188" s="20" t="n">
        <v>19.5</v>
      </c>
      <c r="I188" s="22" t="s">
        <v>180</v>
      </c>
      <c r="J188" s="20" t="n">
        <v>31.41</v>
      </c>
      <c r="K188" s="24" t="n">
        <f aca="false">K187+J188</f>
        <v>5724.54</v>
      </c>
      <c r="L188" s="24" t="n">
        <f aca="false">Well_Data!$B$10-K188</f>
        <v>6775.46</v>
      </c>
      <c r="M188" s="24" t="n">
        <f aca="false">Well_Data!$B$10-K188+J188</f>
        <v>6806.87</v>
      </c>
      <c r="N188" s="25" t="n">
        <f aca="false">G188^2/1029.4</f>
        <v>0.0177619739654167</v>
      </c>
      <c r="O188" s="26" t="n">
        <f aca="false">N188*J188</f>
        <v>0.55790360225374</v>
      </c>
      <c r="P188" s="25" t="n">
        <f aca="false">(F188^2-G188^2)/1029.4</f>
        <v>0.00652401787449</v>
      </c>
      <c r="Q188" s="26" t="n">
        <f aca="false">P188*J188</f>
        <v>0.204919401437731</v>
      </c>
    </row>
    <row r="189" customFormat="false" ht="15" hidden="false" customHeight="true" outlineLevel="0" collapsed="false">
      <c r="A189" s="22" t="n">
        <v>188</v>
      </c>
      <c r="B189" s="22" t="n">
        <v>181</v>
      </c>
      <c r="C189" s="22" t="n">
        <v>50</v>
      </c>
      <c r="D189" s="22" t="s">
        <v>178</v>
      </c>
      <c r="E189" s="22" t="s">
        <v>179</v>
      </c>
      <c r="F189" s="23" t="n">
        <v>5</v>
      </c>
      <c r="G189" s="23" t="n">
        <v>4.276</v>
      </c>
      <c r="H189" s="20" t="n">
        <v>19.5</v>
      </c>
      <c r="I189" s="22" t="s">
        <v>180</v>
      </c>
      <c r="J189" s="20" t="n">
        <v>31.09</v>
      </c>
      <c r="K189" s="24" t="n">
        <f aca="false">K188+J189</f>
        <v>5755.63</v>
      </c>
      <c r="L189" s="24" t="n">
        <f aca="false">Well_Data!$B$10-K189</f>
        <v>6744.37</v>
      </c>
      <c r="M189" s="24" t="n">
        <f aca="false">Well_Data!$B$10-K189+J189</f>
        <v>6775.46</v>
      </c>
      <c r="N189" s="25" t="n">
        <f aca="false">G189^2/1029.4</f>
        <v>0.0177619739654167</v>
      </c>
      <c r="O189" s="26" t="n">
        <f aca="false">N189*J189</f>
        <v>0.552219770584807</v>
      </c>
      <c r="P189" s="25" t="n">
        <f aca="false">(F189^2-G189^2)/1029.4</f>
        <v>0.00652401787449</v>
      </c>
      <c r="Q189" s="26" t="n">
        <f aca="false">P189*J189</f>
        <v>0.202831715717894</v>
      </c>
    </row>
    <row r="190" customFormat="false" ht="15" hidden="false" customHeight="true" outlineLevel="0" collapsed="false">
      <c r="A190" s="22" t="n">
        <v>189</v>
      </c>
      <c r="B190" s="22" t="n">
        <v>182</v>
      </c>
      <c r="C190" s="22" t="n">
        <v>50</v>
      </c>
      <c r="D190" s="22" t="s">
        <v>178</v>
      </c>
      <c r="E190" s="22" t="s">
        <v>179</v>
      </c>
      <c r="F190" s="23" t="n">
        <v>5</v>
      </c>
      <c r="G190" s="23" t="n">
        <v>4.276</v>
      </c>
      <c r="H190" s="20" t="n">
        <v>19.5</v>
      </c>
      <c r="I190" s="22" t="s">
        <v>180</v>
      </c>
      <c r="J190" s="20" t="n">
        <v>31.39</v>
      </c>
      <c r="K190" s="24" t="n">
        <f aca="false">K189+J190</f>
        <v>5787.02</v>
      </c>
      <c r="L190" s="24" t="n">
        <f aca="false">Well_Data!$B$10-K190</f>
        <v>6712.98</v>
      </c>
      <c r="M190" s="24" t="n">
        <f aca="false">Well_Data!$B$10-K190+J190</f>
        <v>6744.37</v>
      </c>
      <c r="N190" s="25" t="n">
        <f aca="false">G190^2/1029.4</f>
        <v>0.0177619739654167</v>
      </c>
      <c r="O190" s="26" t="n">
        <f aca="false">N190*J190</f>
        <v>0.557548362774432</v>
      </c>
      <c r="P190" s="25" t="n">
        <f aca="false">(F190^2-G190^2)/1029.4</f>
        <v>0.00652401787449</v>
      </c>
      <c r="Q190" s="26" t="n">
        <f aca="false">P190*J190</f>
        <v>0.204788921080241</v>
      </c>
    </row>
    <row r="191" customFormat="false" ht="15" hidden="false" customHeight="true" outlineLevel="0" collapsed="false">
      <c r="A191" s="22" t="n">
        <v>190</v>
      </c>
      <c r="B191" s="22" t="n">
        <v>183</v>
      </c>
      <c r="C191" s="22" t="n">
        <v>50</v>
      </c>
      <c r="D191" s="22" t="s">
        <v>178</v>
      </c>
      <c r="E191" s="22" t="s">
        <v>179</v>
      </c>
      <c r="F191" s="23" t="n">
        <v>5</v>
      </c>
      <c r="G191" s="23" t="n">
        <v>4.276</v>
      </c>
      <c r="H191" s="20" t="n">
        <v>19.5</v>
      </c>
      <c r="I191" s="22" t="s">
        <v>180</v>
      </c>
      <c r="J191" s="20" t="n">
        <v>30.89</v>
      </c>
      <c r="K191" s="24" t="n">
        <f aca="false">K190+J191</f>
        <v>5817.91</v>
      </c>
      <c r="L191" s="24" t="n">
        <f aca="false">Well_Data!$B$10-K191</f>
        <v>6682.09</v>
      </c>
      <c r="M191" s="24" t="n">
        <f aca="false">Well_Data!$B$10-K191+J191</f>
        <v>6712.98</v>
      </c>
      <c r="N191" s="25" t="n">
        <f aca="false">G191^2/1029.4</f>
        <v>0.0177619739654167</v>
      </c>
      <c r="O191" s="26" t="n">
        <f aca="false">N191*J191</f>
        <v>0.548667375791723</v>
      </c>
      <c r="P191" s="25" t="n">
        <f aca="false">(F191^2-G191^2)/1029.4</f>
        <v>0.00652401787449</v>
      </c>
      <c r="Q191" s="26" t="n">
        <f aca="false">P191*J191</f>
        <v>0.201526912142996</v>
      </c>
    </row>
    <row r="192" customFormat="false" ht="15" hidden="false" customHeight="true" outlineLevel="0" collapsed="false">
      <c r="A192" s="22" t="n">
        <v>191</v>
      </c>
      <c r="B192" s="22" t="n">
        <v>184</v>
      </c>
      <c r="C192" s="22" t="n">
        <v>51</v>
      </c>
      <c r="D192" s="22" t="s">
        <v>178</v>
      </c>
      <c r="E192" s="22" t="s">
        <v>179</v>
      </c>
      <c r="F192" s="23" t="n">
        <v>5</v>
      </c>
      <c r="G192" s="23" t="n">
        <v>4.276</v>
      </c>
      <c r="H192" s="20" t="n">
        <v>19.5</v>
      </c>
      <c r="I192" s="22" t="s">
        <v>180</v>
      </c>
      <c r="J192" s="20" t="n">
        <v>31.18</v>
      </c>
      <c r="K192" s="24" t="n">
        <f aca="false">K191+J192</f>
        <v>5849.09</v>
      </c>
      <c r="L192" s="24" t="n">
        <f aca="false">Well_Data!$B$10-K192</f>
        <v>6650.91</v>
      </c>
      <c r="M192" s="24" t="n">
        <f aca="false">Well_Data!$B$10-K192+J192</f>
        <v>6682.09</v>
      </c>
      <c r="N192" s="25" t="n">
        <f aca="false">G192^2/1029.4</f>
        <v>0.0177619739654167</v>
      </c>
      <c r="O192" s="26" t="n">
        <f aca="false">N192*J192</f>
        <v>0.553818348241694</v>
      </c>
      <c r="P192" s="25" t="n">
        <f aca="false">(F192^2-G192^2)/1029.4</f>
        <v>0.00652401787449</v>
      </c>
      <c r="Q192" s="26" t="n">
        <f aca="false">P192*J192</f>
        <v>0.203418877326598</v>
      </c>
    </row>
    <row r="193" customFormat="false" ht="15" hidden="false" customHeight="true" outlineLevel="0" collapsed="false">
      <c r="A193" s="22" t="n">
        <v>192</v>
      </c>
      <c r="B193" s="22" t="n">
        <v>185</v>
      </c>
      <c r="C193" s="22" t="n">
        <v>51</v>
      </c>
      <c r="D193" s="22" t="s">
        <v>178</v>
      </c>
      <c r="E193" s="22" t="s">
        <v>179</v>
      </c>
      <c r="F193" s="23" t="n">
        <v>5</v>
      </c>
      <c r="G193" s="23" t="n">
        <v>4.276</v>
      </c>
      <c r="H193" s="20" t="n">
        <v>19.5</v>
      </c>
      <c r="I193" s="22" t="s">
        <v>180</v>
      </c>
      <c r="J193" s="20" t="n">
        <v>30.84</v>
      </c>
      <c r="K193" s="24" t="n">
        <f aca="false">K192+J193</f>
        <v>5879.93</v>
      </c>
      <c r="L193" s="24" t="n">
        <f aca="false">Well_Data!$B$10-K193</f>
        <v>6620.07</v>
      </c>
      <c r="M193" s="24" t="n">
        <f aca="false">Well_Data!$B$10-K193+J193</f>
        <v>6650.91</v>
      </c>
      <c r="N193" s="25" t="n">
        <f aca="false">G193^2/1029.4</f>
        <v>0.0177619739654167</v>
      </c>
      <c r="O193" s="26" t="n">
        <f aca="false">N193*J193</f>
        <v>0.547779277093452</v>
      </c>
      <c r="P193" s="25" t="n">
        <f aca="false">(F193^2-G193^2)/1029.4</f>
        <v>0.00652401787449</v>
      </c>
      <c r="Q193" s="26" t="n">
        <f aca="false">P193*J193</f>
        <v>0.201200711249271</v>
      </c>
    </row>
    <row r="194" customFormat="false" ht="15" hidden="false" customHeight="true" outlineLevel="0" collapsed="false">
      <c r="A194" s="22" t="n">
        <v>193</v>
      </c>
      <c r="B194" s="22" t="n">
        <v>186</v>
      </c>
      <c r="C194" s="22" t="n">
        <v>51</v>
      </c>
      <c r="D194" s="22" t="s">
        <v>178</v>
      </c>
      <c r="E194" s="22" t="s">
        <v>179</v>
      </c>
      <c r="F194" s="23" t="n">
        <v>5</v>
      </c>
      <c r="G194" s="23" t="n">
        <v>4.276</v>
      </c>
      <c r="H194" s="20" t="n">
        <v>19.5</v>
      </c>
      <c r="I194" s="22" t="s">
        <v>180</v>
      </c>
      <c r="J194" s="20" t="n">
        <v>31.32</v>
      </c>
      <c r="K194" s="24" t="n">
        <f aca="false">K193+J194</f>
        <v>5911.25</v>
      </c>
      <c r="L194" s="24" t="n">
        <f aca="false">Well_Data!$B$10-K194</f>
        <v>6588.75</v>
      </c>
      <c r="M194" s="24" t="n">
        <f aca="false">Well_Data!$B$10-K194+J194</f>
        <v>6620.07</v>
      </c>
      <c r="N194" s="25" t="n">
        <f aca="false">G194^2/1029.4</f>
        <v>0.0177619739654167</v>
      </c>
      <c r="O194" s="26" t="n">
        <f aca="false">N194*J194</f>
        <v>0.556305024596852</v>
      </c>
      <c r="P194" s="25" t="n">
        <f aca="false">(F194^2-G194^2)/1029.4</f>
        <v>0.00652401787449</v>
      </c>
      <c r="Q194" s="26" t="n">
        <f aca="false">P194*J194</f>
        <v>0.204332239829027</v>
      </c>
    </row>
    <row r="195" customFormat="false" ht="15" hidden="false" customHeight="true" outlineLevel="0" collapsed="false">
      <c r="A195" s="22" t="n">
        <v>194</v>
      </c>
      <c r="B195" s="22" t="n">
        <v>187</v>
      </c>
      <c r="C195" s="22" t="n">
        <v>52</v>
      </c>
      <c r="D195" s="22" t="s">
        <v>178</v>
      </c>
      <c r="E195" s="22" t="s">
        <v>179</v>
      </c>
      <c r="F195" s="23" t="n">
        <v>5</v>
      </c>
      <c r="G195" s="23" t="n">
        <v>4.276</v>
      </c>
      <c r="H195" s="20" t="n">
        <v>19.5</v>
      </c>
      <c r="I195" s="22" t="s">
        <v>180</v>
      </c>
      <c r="J195" s="20" t="n">
        <v>31.26</v>
      </c>
      <c r="K195" s="24" t="n">
        <f aca="false">K194+J195</f>
        <v>5942.51</v>
      </c>
      <c r="L195" s="24" t="n">
        <f aca="false">Well_Data!$B$10-K195</f>
        <v>6557.49</v>
      </c>
      <c r="M195" s="24" t="n">
        <f aca="false">Well_Data!$B$10-K195+J195</f>
        <v>6588.75</v>
      </c>
      <c r="N195" s="25" t="n">
        <f aca="false">G195^2/1029.4</f>
        <v>0.0177619739654167</v>
      </c>
      <c r="O195" s="26" t="n">
        <f aca="false">N195*J195</f>
        <v>0.555239306158928</v>
      </c>
      <c r="P195" s="25" t="n">
        <f aca="false">(F195^2-G195^2)/1029.4</f>
        <v>0.00652401787449</v>
      </c>
      <c r="Q195" s="26" t="n">
        <f aca="false">P195*J195</f>
        <v>0.203940798756557</v>
      </c>
    </row>
    <row r="196" customFormat="false" ht="15" hidden="false" customHeight="true" outlineLevel="0" collapsed="false">
      <c r="A196" s="22" t="n">
        <v>195</v>
      </c>
      <c r="B196" s="22" t="n">
        <v>188</v>
      </c>
      <c r="C196" s="22" t="n">
        <v>52</v>
      </c>
      <c r="D196" s="22" t="s">
        <v>178</v>
      </c>
      <c r="E196" s="22" t="s">
        <v>179</v>
      </c>
      <c r="F196" s="23" t="n">
        <v>5</v>
      </c>
      <c r="G196" s="23" t="n">
        <v>4.276</v>
      </c>
      <c r="H196" s="20" t="n">
        <v>19.5</v>
      </c>
      <c r="I196" s="22" t="s">
        <v>180</v>
      </c>
      <c r="J196" s="20" t="n">
        <v>31.12</v>
      </c>
      <c r="K196" s="24" t="n">
        <f aca="false">K195+J196</f>
        <v>5973.63</v>
      </c>
      <c r="L196" s="24" t="n">
        <f aca="false">Well_Data!$B$10-K196</f>
        <v>6526.37</v>
      </c>
      <c r="M196" s="24" t="n">
        <f aca="false">Well_Data!$B$10-K196+J196</f>
        <v>6557.49</v>
      </c>
      <c r="N196" s="25" t="n">
        <f aca="false">G196^2/1029.4</f>
        <v>0.0177619739654167</v>
      </c>
      <c r="O196" s="26" t="n">
        <f aca="false">N196*J196</f>
        <v>0.552752629803769</v>
      </c>
      <c r="P196" s="25" t="n">
        <f aca="false">(F196^2-G196^2)/1029.4</f>
        <v>0.00652401787449</v>
      </c>
      <c r="Q196" s="26" t="n">
        <f aca="false">P196*J196</f>
        <v>0.203027436254129</v>
      </c>
    </row>
    <row r="197" customFormat="false" ht="15" hidden="false" customHeight="true" outlineLevel="0" collapsed="false">
      <c r="A197" s="22" t="n">
        <v>196</v>
      </c>
      <c r="B197" s="22" t="n">
        <v>189</v>
      </c>
      <c r="C197" s="22" t="n">
        <v>52</v>
      </c>
      <c r="D197" s="22" t="s">
        <v>178</v>
      </c>
      <c r="E197" s="22" t="s">
        <v>179</v>
      </c>
      <c r="F197" s="23" t="n">
        <v>5</v>
      </c>
      <c r="G197" s="23" t="n">
        <v>4.276</v>
      </c>
      <c r="H197" s="20" t="n">
        <v>19.5</v>
      </c>
      <c r="I197" s="22" t="s">
        <v>180</v>
      </c>
      <c r="J197" s="20" t="n">
        <v>30.86</v>
      </c>
      <c r="K197" s="24" t="n">
        <f aca="false">K196+J197</f>
        <v>6004.49</v>
      </c>
      <c r="L197" s="24" t="n">
        <f aca="false">Well_Data!$B$10-K197</f>
        <v>6495.51</v>
      </c>
      <c r="M197" s="24" t="n">
        <f aca="false">Well_Data!$B$10-K197+J197</f>
        <v>6526.37</v>
      </c>
      <c r="N197" s="25" t="n">
        <f aca="false">G197^2/1029.4</f>
        <v>0.0177619739654167</v>
      </c>
      <c r="O197" s="26" t="n">
        <f aca="false">N197*J197</f>
        <v>0.548134516572761</v>
      </c>
      <c r="P197" s="25" t="n">
        <f aca="false">(F197^2-G197^2)/1029.4</f>
        <v>0.00652401787449</v>
      </c>
      <c r="Q197" s="26" t="n">
        <f aca="false">P197*J197</f>
        <v>0.201331191606761</v>
      </c>
    </row>
    <row r="198" customFormat="false" ht="15" hidden="false" customHeight="true" outlineLevel="0" collapsed="false">
      <c r="A198" s="22" t="n">
        <v>197</v>
      </c>
      <c r="B198" s="22" t="n">
        <v>190</v>
      </c>
      <c r="C198" s="22" t="n">
        <v>53</v>
      </c>
      <c r="D198" s="22" t="s">
        <v>178</v>
      </c>
      <c r="E198" s="22" t="s">
        <v>179</v>
      </c>
      <c r="F198" s="23" t="n">
        <v>5</v>
      </c>
      <c r="G198" s="23" t="n">
        <v>4.276</v>
      </c>
      <c r="H198" s="20" t="n">
        <v>19.5</v>
      </c>
      <c r="I198" s="22" t="s">
        <v>180</v>
      </c>
      <c r="J198" s="20" t="n">
        <v>30.82</v>
      </c>
      <c r="K198" s="24" t="n">
        <f aca="false">K197+J198</f>
        <v>6035.31</v>
      </c>
      <c r="L198" s="24" t="n">
        <f aca="false">Well_Data!$B$10-K198</f>
        <v>6464.69</v>
      </c>
      <c r="M198" s="24" t="n">
        <f aca="false">Well_Data!$B$10-K198+J198</f>
        <v>6495.51</v>
      </c>
      <c r="N198" s="25" t="n">
        <f aca="false">G198^2/1029.4</f>
        <v>0.0177619739654167</v>
      </c>
      <c r="O198" s="26" t="n">
        <f aca="false">N198*J198</f>
        <v>0.547424037614144</v>
      </c>
      <c r="P198" s="25" t="n">
        <f aca="false">(F198^2-G198^2)/1029.4</f>
        <v>0.00652401787449</v>
      </c>
      <c r="Q198" s="26" t="n">
        <f aca="false">P198*J198</f>
        <v>0.201070230891782</v>
      </c>
    </row>
    <row r="199" customFormat="false" ht="15" hidden="false" customHeight="true" outlineLevel="0" collapsed="false">
      <c r="A199" s="22" t="n">
        <v>198</v>
      </c>
      <c r="B199" s="22" t="n">
        <v>191</v>
      </c>
      <c r="C199" s="22" t="n">
        <v>53</v>
      </c>
      <c r="D199" s="22" t="s">
        <v>178</v>
      </c>
      <c r="E199" s="22" t="s">
        <v>179</v>
      </c>
      <c r="F199" s="23" t="n">
        <v>5</v>
      </c>
      <c r="G199" s="23" t="n">
        <v>4.276</v>
      </c>
      <c r="H199" s="20" t="n">
        <v>19.5</v>
      </c>
      <c r="I199" s="22" t="s">
        <v>180</v>
      </c>
      <c r="J199" s="20" t="n">
        <v>30.91</v>
      </c>
      <c r="K199" s="24" t="n">
        <f aca="false">K198+J199</f>
        <v>6066.22</v>
      </c>
      <c r="L199" s="24" t="n">
        <f aca="false">Well_Data!$B$10-K199</f>
        <v>6433.78</v>
      </c>
      <c r="M199" s="24" t="n">
        <f aca="false">Well_Data!$B$10-K199+J199</f>
        <v>6464.69</v>
      </c>
      <c r="N199" s="25" t="n">
        <f aca="false">G199^2/1029.4</f>
        <v>0.0177619739654167</v>
      </c>
      <c r="O199" s="26" t="n">
        <f aca="false">N199*J199</f>
        <v>0.549022615271032</v>
      </c>
      <c r="P199" s="25" t="n">
        <f aca="false">(F199^2-G199^2)/1029.4</f>
        <v>0.00652401787449</v>
      </c>
      <c r="Q199" s="26" t="n">
        <f aca="false">P199*J199</f>
        <v>0.201657392500486</v>
      </c>
    </row>
    <row r="200" customFormat="false" ht="15" hidden="false" customHeight="true" outlineLevel="0" collapsed="false">
      <c r="A200" s="22" t="n">
        <v>199</v>
      </c>
      <c r="B200" s="22" t="n">
        <v>192</v>
      </c>
      <c r="C200" s="22" t="n">
        <v>53</v>
      </c>
      <c r="D200" s="22" t="s">
        <v>178</v>
      </c>
      <c r="E200" s="22" t="s">
        <v>179</v>
      </c>
      <c r="F200" s="23" t="n">
        <v>5</v>
      </c>
      <c r="G200" s="23" t="n">
        <v>4.276</v>
      </c>
      <c r="H200" s="20" t="n">
        <v>19.5</v>
      </c>
      <c r="I200" s="22" t="s">
        <v>180</v>
      </c>
      <c r="J200" s="20" t="n">
        <v>31.48</v>
      </c>
      <c r="K200" s="24" t="n">
        <f aca="false">K199+J200</f>
        <v>6097.7</v>
      </c>
      <c r="L200" s="24" t="n">
        <f aca="false">Well_Data!$B$10-K200</f>
        <v>6402.3</v>
      </c>
      <c r="M200" s="24" t="n">
        <f aca="false">Well_Data!$B$10-K200+J200</f>
        <v>6433.78</v>
      </c>
      <c r="N200" s="25" t="n">
        <f aca="false">G200^2/1029.4</f>
        <v>0.0177619739654167</v>
      </c>
      <c r="O200" s="26" t="n">
        <f aca="false">N200*J200</f>
        <v>0.559146940431319</v>
      </c>
      <c r="P200" s="25" t="n">
        <f aca="false">(F200^2-G200^2)/1029.4</f>
        <v>0.00652401787449</v>
      </c>
      <c r="Q200" s="26" t="n">
        <f aca="false">P200*J200</f>
        <v>0.205376082688945</v>
      </c>
    </row>
    <row r="201" customFormat="false" ht="15" hidden="false" customHeight="true" outlineLevel="0" collapsed="false">
      <c r="A201" s="22" t="n">
        <v>200</v>
      </c>
      <c r="B201" s="22" t="n">
        <v>193</v>
      </c>
      <c r="C201" s="22" t="n">
        <v>54</v>
      </c>
      <c r="D201" s="22" t="s">
        <v>178</v>
      </c>
      <c r="E201" s="22" t="s">
        <v>179</v>
      </c>
      <c r="F201" s="23" t="n">
        <v>5</v>
      </c>
      <c r="G201" s="23" t="n">
        <v>4.276</v>
      </c>
      <c r="H201" s="20" t="n">
        <v>19.5</v>
      </c>
      <c r="I201" s="22" t="s">
        <v>180</v>
      </c>
      <c r="J201" s="20" t="n">
        <v>30.94</v>
      </c>
      <c r="K201" s="24" t="n">
        <f aca="false">K200+J201</f>
        <v>6128.64</v>
      </c>
      <c r="L201" s="24" t="n">
        <f aca="false">Well_Data!$B$10-K201</f>
        <v>6371.36</v>
      </c>
      <c r="M201" s="24" t="n">
        <f aca="false">Well_Data!$B$10-K201+J201</f>
        <v>6402.3</v>
      </c>
      <c r="N201" s="25" t="n">
        <f aca="false">G201^2/1029.4</f>
        <v>0.0177619739654167</v>
      </c>
      <c r="O201" s="26" t="n">
        <f aca="false">N201*J201</f>
        <v>0.549555474489994</v>
      </c>
      <c r="P201" s="25" t="n">
        <f aca="false">(F201^2-G201^2)/1029.4</f>
        <v>0.00652401787449</v>
      </c>
      <c r="Q201" s="26" t="n">
        <f aca="false">P201*J201</f>
        <v>0.20185311303672</v>
      </c>
    </row>
    <row r="202" customFormat="false" ht="15" hidden="false" customHeight="true" outlineLevel="0" collapsed="false">
      <c r="A202" s="22" t="n">
        <v>201</v>
      </c>
      <c r="B202" s="22" t="n">
        <v>194</v>
      </c>
      <c r="C202" s="22" t="n">
        <v>54</v>
      </c>
      <c r="D202" s="22" t="s">
        <v>178</v>
      </c>
      <c r="E202" s="22" t="s">
        <v>179</v>
      </c>
      <c r="F202" s="23" t="n">
        <v>5</v>
      </c>
      <c r="G202" s="23" t="n">
        <v>4.276</v>
      </c>
      <c r="H202" s="20" t="n">
        <v>19.5</v>
      </c>
      <c r="I202" s="22" t="s">
        <v>180</v>
      </c>
      <c r="J202" s="20" t="n">
        <v>31.34</v>
      </c>
      <c r="K202" s="24" t="n">
        <f aca="false">K201+J202</f>
        <v>6159.98</v>
      </c>
      <c r="L202" s="24" t="n">
        <f aca="false">Well_Data!$B$10-K202</f>
        <v>6340.02</v>
      </c>
      <c r="M202" s="24" t="n">
        <f aca="false">Well_Data!$B$10-K202+J202</f>
        <v>6371.36</v>
      </c>
      <c r="N202" s="25" t="n">
        <f aca="false">G202^2/1029.4</f>
        <v>0.0177619739654167</v>
      </c>
      <c r="O202" s="26" t="n">
        <f aca="false">N202*J202</f>
        <v>0.556660264076161</v>
      </c>
      <c r="P202" s="25" t="n">
        <f aca="false">(F202^2-G202^2)/1029.4</f>
        <v>0.00652401787449</v>
      </c>
      <c r="Q202" s="26" t="n">
        <f aca="false">P202*J202</f>
        <v>0.204462720186516</v>
      </c>
    </row>
    <row r="203" customFormat="false" ht="15" hidden="false" customHeight="true" outlineLevel="0" collapsed="false">
      <c r="A203" s="22" t="n">
        <v>202</v>
      </c>
      <c r="B203" s="22" t="n">
        <v>195</v>
      </c>
      <c r="C203" s="22" t="n">
        <v>54</v>
      </c>
      <c r="D203" s="22" t="s">
        <v>178</v>
      </c>
      <c r="E203" s="22" t="s">
        <v>179</v>
      </c>
      <c r="F203" s="23" t="n">
        <v>5</v>
      </c>
      <c r="G203" s="23" t="n">
        <v>4.276</v>
      </c>
      <c r="H203" s="20" t="n">
        <v>19.5</v>
      </c>
      <c r="I203" s="22" t="s">
        <v>180</v>
      </c>
      <c r="J203" s="20" t="n">
        <v>31.11</v>
      </c>
      <c r="K203" s="24" t="n">
        <f aca="false">K202+J203</f>
        <v>6191.09</v>
      </c>
      <c r="L203" s="24" t="n">
        <f aca="false">Well_Data!$B$10-K203</f>
        <v>6308.91</v>
      </c>
      <c r="M203" s="24" t="n">
        <f aca="false">Well_Data!$B$10-K203+J203</f>
        <v>6340.02</v>
      </c>
      <c r="N203" s="25" t="n">
        <f aca="false">G203^2/1029.4</f>
        <v>0.0177619739654167</v>
      </c>
      <c r="O203" s="26" t="n">
        <f aca="false">N203*J203</f>
        <v>0.552575010064115</v>
      </c>
      <c r="P203" s="25" t="n">
        <f aca="false">(F203^2-G203^2)/1029.4</f>
        <v>0.00652401787449</v>
      </c>
      <c r="Q203" s="26" t="n">
        <f aca="false">P203*J203</f>
        <v>0.202962196075384</v>
      </c>
    </row>
    <row r="204" customFormat="false" ht="15" hidden="false" customHeight="true" outlineLevel="0" collapsed="false">
      <c r="A204" s="22" t="n">
        <v>203</v>
      </c>
      <c r="B204" s="22" t="n">
        <v>196</v>
      </c>
      <c r="C204" s="22" t="n">
        <v>55</v>
      </c>
      <c r="D204" s="22" t="s">
        <v>178</v>
      </c>
      <c r="E204" s="22" t="s">
        <v>179</v>
      </c>
      <c r="F204" s="23" t="n">
        <v>5</v>
      </c>
      <c r="G204" s="23" t="n">
        <v>4.276</v>
      </c>
      <c r="H204" s="20" t="n">
        <v>19.5</v>
      </c>
      <c r="I204" s="22" t="s">
        <v>180</v>
      </c>
      <c r="J204" s="20" t="n">
        <v>31.39</v>
      </c>
      <c r="K204" s="24" t="n">
        <f aca="false">K203+J204</f>
        <v>6222.48</v>
      </c>
      <c r="L204" s="24" t="n">
        <f aca="false">Well_Data!$B$10-K204</f>
        <v>6277.52</v>
      </c>
      <c r="M204" s="24" t="n">
        <f aca="false">Well_Data!$B$10-K204+J204</f>
        <v>6308.91</v>
      </c>
      <c r="N204" s="25" t="n">
        <f aca="false">G204^2/1029.4</f>
        <v>0.0177619739654167</v>
      </c>
      <c r="O204" s="26" t="n">
        <f aca="false">N204*J204</f>
        <v>0.557548362774432</v>
      </c>
      <c r="P204" s="25" t="n">
        <f aca="false">(F204^2-G204^2)/1029.4</f>
        <v>0.00652401787449</v>
      </c>
      <c r="Q204" s="26" t="n">
        <f aca="false">P204*J204</f>
        <v>0.204788921080241</v>
      </c>
    </row>
    <row r="205" customFormat="false" ht="15" hidden="false" customHeight="true" outlineLevel="0" collapsed="false">
      <c r="A205" s="22" t="n">
        <v>204</v>
      </c>
      <c r="B205" s="22" t="n">
        <v>197</v>
      </c>
      <c r="C205" s="22" t="n">
        <v>55</v>
      </c>
      <c r="D205" s="22" t="s">
        <v>178</v>
      </c>
      <c r="E205" s="22" t="s">
        <v>179</v>
      </c>
      <c r="F205" s="23" t="n">
        <v>5</v>
      </c>
      <c r="G205" s="23" t="n">
        <v>4.276</v>
      </c>
      <c r="H205" s="20" t="n">
        <v>19.5</v>
      </c>
      <c r="I205" s="22" t="s">
        <v>180</v>
      </c>
      <c r="J205" s="20" t="n">
        <v>31.13</v>
      </c>
      <c r="K205" s="24" t="n">
        <f aca="false">K204+J205</f>
        <v>6253.61</v>
      </c>
      <c r="L205" s="24" t="n">
        <f aca="false">Well_Data!$B$10-K205</f>
        <v>6246.39</v>
      </c>
      <c r="M205" s="24" t="n">
        <f aca="false">Well_Data!$B$10-K205+J205</f>
        <v>6277.52</v>
      </c>
      <c r="N205" s="25" t="n">
        <f aca="false">G205^2/1029.4</f>
        <v>0.0177619739654167</v>
      </c>
      <c r="O205" s="26" t="n">
        <f aca="false">N205*J205</f>
        <v>0.552930249543423</v>
      </c>
      <c r="P205" s="25" t="n">
        <f aca="false">(F205^2-G205^2)/1029.4</f>
        <v>0.00652401787449</v>
      </c>
      <c r="Q205" s="26" t="n">
        <f aca="false">P205*J205</f>
        <v>0.203092676432874</v>
      </c>
    </row>
    <row r="206" customFormat="false" ht="15" hidden="false" customHeight="true" outlineLevel="0" collapsed="false">
      <c r="A206" s="22" t="n">
        <v>205</v>
      </c>
      <c r="B206" s="22" t="n">
        <v>198</v>
      </c>
      <c r="C206" s="22" t="n">
        <v>55</v>
      </c>
      <c r="D206" s="22" t="s">
        <v>178</v>
      </c>
      <c r="E206" s="22" t="s">
        <v>179</v>
      </c>
      <c r="F206" s="23" t="n">
        <v>5</v>
      </c>
      <c r="G206" s="23" t="n">
        <v>4.276</v>
      </c>
      <c r="H206" s="20" t="n">
        <v>19.5</v>
      </c>
      <c r="I206" s="22" t="s">
        <v>180</v>
      </c>
      <c r="J206" s="20" t="n">
        <v>31.29</v>
      </c>
      <c r="K206" s="24" t="n">
        <f aca="false">K205+J206</f>
        <v>6284.9</v>
      </c>
      <c r="L206" s="24" t="n">
        <f aca="false">Well_Data!$B$10-K206</f>
        <v>6215.1</v>
      </c>
      <c r="M206" s="24" t="n">
        <f aca="false">Well_Data!$B$10-K206+J206</f>
        <v>6246.39</v>
      </c>
      <c r="N206" s="25" t="n">
        <f aca="false">G206^2/1029.4</f>
        <v>0.0177619739654167</v>
      </c>
      <c r="O206" s="26" t="n">
        <f aca="false">N206*J206</f>
        <v>0.55577216537789</v>
      </c>
      <c r="P206" s="25" t="n">
        <f aca="false">(F206^2-G206^2)/1029.4</f>
        <v>0.00652401787449</v>
      </c>
      <c r="Q206" s="26" t="n">
        <f aca="false">P206*J206</f>
        <v>0.204136519292792</v>
      </c>
    </row>
    <row r="207" customFormat="false" ht="15" hidden="false" customHeight="true" outlineLevel="0" collapsed="false">
      <c r="A207" s="22" t="n">
        <v>206</v>
      </c>
      <c r="B207" s="22" t="n">
        <v>199</v>
      </c>
      <c r="C207" s="22" t="n">
        <v>56</v>
      </c>
      <c r="D207" s="22" t="s">
        <v>178</v>
      </c>
      <c r="E207" s="22" t="s">
        <v>179</v>
      </c>
      <c r="F207" s="23" t="n">
        <v>5</v>
      </c>
      <c r="G207" s="23" t="n">
        <v>4.276</v>
      </c>
      <c r="H207" s="20" t="n">
        <v>19.5</v>
      </c>
      <c r="I207" s="22" t="s">
        <v>180</v>
      </c>
      <c r="J207" s="20" t="n">
        <v>31.33</v>
      </c>
      <c r="K207" s="24" t="n">
        <f aca="false">K206+J207</f>
        <v>6316.23</v>
      </c>
      <c r="L207" s="24" t="n">
        <f aca="false">Well_Data!$B$10-K207</f>
        <v>6183.77</v>
      </c>
      <c r="M207" s="24" t="n">
        <f aca="false">Well_Data!$B$10-K207+J207</f>
        <v>6215.1</v>
      </c>
      <c r="N207" s="25" t="n">
        <f aca="false">G207^2/1029.4</f>
        <v>0.0177619739654167</v>
      </c>
      <c r="O207" s="26" t="n">
        <f aca="false">N207*J207</f>
        <v>0.556482644336507</v>
      </c>
      <c r="P207" s="25" t="n">
        <f aca="false">(F207^2-G207^2)/1029.4</f>
        <v>0.00652401787449</v>
      </c>
      <c r="Q207" s="26" t="n">
        <f aca="false">P207*J207</f>
        <v>0.204397480007772</v>
      </c>
    </row>
    <row r="208" customFormat="false" ht="15" hidden="false" customHeight="true" outlineLevel="0" collapsed="false">
      <c r="A208" s="22" t="n">
        <v>207</v>
      </c>
      <c r="B208" s="22" t="n">
        <v>200</v>
      </c>
      <c r="C208" s="22" t="n">
        <v>56</v>
      </c>
      <c r="D208" s="22" t="s">
        <v>178</v>
      </c>
      <c r="E208" s="22" t="s">
        <v>179</v>
      </c>
      <c r="F208" s="23" t="n">
        <v>5</v>
      </c>
      <c r="G208" s="23" t="n">
        <v>4.276</v>
      </c>
      <c r="H208" s="20" t="n">
        <v>19.5</v>
      </c>
      <c r="I208" s="22" t="s">
        <v>180</v>
      </c>
      <c r="J208" s="20" t="n">
        <v>31.39</v>
      </c>
      <c r="K208" s="24" t="n">
        <f aca="false">K207+J208</f>
        <v>6347.62</v>
      </c>
      <c r="L208" s="24" t="n">
        <f aca="false">Well_Data!$B$10-K208</f>
        <v>6152.38</v>
      </c>
      <c r="M208" s="24" t="n">
        <f aca="false">Well_Data!$B$10-K208+J208</f>
        <v>6183.77</v>
      </c>
      <c r="N208" s="25" t="n">
        <f aca="false">G208^2/1029.4</f>
        <v>0.0177619739654167</v>
      </c>
      <c r="O208" s="26" t="n">
        <f aca="false">N208*J208</f>
        <v>0.557548362774432</v>
      </c>
      <c r="P208" s="25" t="n">
        <f aca="false">(F208^2-G208^2)/1029.4</f>
        <v>0.00652401787449</v>
      </c>
      <c r="Q208" s="26" t="n">
        <f aca="false">P208*J208</f>
        <v>0.204788921080241</v>
      </c>
    </row>
    <row r="209" customFormat="false" ht="15" hidden="false" customHeight="true" outlineLevel="0" collapsed="false">
      <c r="A209" s="22" t="n">
        <v>208</v>
      </c>
      <c r="B209" s="22" t="n">
        <v>201</v>
      </c>
      <c r="C209" s="22" t="n">
        <v>56</v>
      </c>
      <c r="D209" s="22" t="s">
        <v>178</v>
      </c>
      <c r="E209" s="22" t="s">
        <v>179</v>
      </c>
      <c r="F209" s="23" t="n">
        <v>5</v>
      </c>
      <c r="G209" s="23" t="n">
        <v>4.276</v>
      </c>
      <c r="H209" s="20" t="n">
        <v>19.5</v>
      </c>
      <c r="I209" s="22" t="s">
        <v>180</v>
      </c>
      <c r="J209" s="20" t="n">
        <v>31.09</v>
      </c>
      <c r="K209" s="24" t="n">
        <f aca="false">K208+J209</f>
        <v>6378.71</v>
      </c>
      <c r="L209" s="24" t="n">
        <f aca="false">Well_Data!$B$10-K209</f>
        <v>6121.29</v>
      </c>
      <c r="M209" s="24" t="n">
        <f aca="false">Well_Data!$B$10-K209+J209</f>
        <v>6152.38</v>
      </c>
      <c r="N209" s="25" t="n">
        <f aca="false">G209^2/1029.4</f>
        <v>0.0177619739654167</v>
      </c>
      <c r="O209" s="26" t="n">
        <f aca="false">N209*J209</f>
        <v>0.552219770584807</v>
      </c>
      <c r="P209" s="25" t="n">
        <f aca="false">(F209^2-G209^2)/1029.4</f>
        <v>0.00652401787449</v>
      </c>
      <c r="Q209" s="26" t="n">
        <f aca="false">P209*J209</f>
        <v>0.202831715717894</v>
      </c>
    </row>
    <row r="210" customFormat="false" ht="15" hidden="false" customHeight="true" outlineLevel="0" collapsed="false">
      <c r="A210" s="22" t="n">
        <v>209</v>
      </c>
      <c r="B210" s="22" t="n">
        <v>202</v>
      </c>
      <c r="C210" s="22" t="n">
        <v>57</v>
      </c>
      <c r="D210" s="22" t="s">
        <v>178</v>
      </c>
      <c r="E210" s="22" t="s">
        <v>179</v>
      </c>
      <c r="F210" s="23" t="n">
        <v>5</v>
      </c>
      <c r="G210" s="23" t="n">
        <v>4.276</v>
      </c>
      <c r="H210" s="20" t="n">
        <v>19.5</v>
      </c>
      <c r="I210" s="22" t="s">
        <v>180</v>
      </c>
      <c r="J210" s="20" t="n">
        <v>31.23</v>
      </c>
      <c r="K210" s="24" t="n">
        <f aca="false">K209+J210</f>
        <v>6409.94</v>
      </c>
      <c r="L210" s="24" t="n">
        <f aca="false">Well_Data!$B$10-K210</f>
        <v>6090.06</v>
      </c>
      <c r="M210" s="24" t="n">
        <f aca="false">Well_Data!$B$10-K210+J210</f>
        <v>6121.29</v>
      </c>
      <c r="N210" s="25" t="n">
        <f aca="false">G210^2/1029.4</f>
        <v>0.0177619739654167</v>
      </c>
      <c r="O210" s="26" t="n">
        <f aca="false">N210*J210</f>
        <v>0.554706446939965</v>
      </c>
      <c r="P210" s="25" t="n">
        <f aca="false">(F210^2-G210^2)/1029.4</f>
        <v>0.00652401787449</v>
      </c>
      <c r="Q210" s="26" t="n">
        <f aca="false">P210*J210</f>
        <v>0.203745078220323</v>
      </c>
    </row>
    <row r="211" customFormat="false" ht="15" hidden="false" customHeight="true" outlineLevel="0" collapsed="false">
      <c r="A211" s="22" t="n">
        <v>210</v>
      </c>
      <c r="B211" s="22" t="n">
        <v>203</v>
      </c>
      <c r="C211" s="22" t="n">
        <v>57</v>
      </c>
      <c r="D211" s="22" t="s">
        <v>178</v>
      </c>
      <c r="E211" s="22" t="s">
        <v>179</v>
      </c>
      <c r="F211" s="23" t="n">
        <v>5</v>
      </c>
      <c r="G211" s="23" t="n">
        <v>4.276</v>
      </c>
      <c r="H211" s="20" t="n">
        <v>19.5</v>
      </c>
      <c r="I211" s="22" t="s">
        <v>180</v>
      </c>
      <c r="J211" s="20" t="n">
        <v>30.65</v>
      </c>
      <c r="K211" s="24" t="n">
        <f aca="false">K210+J211</f>
        <v>6440.59</v>
      </c>
      <c r="L211" s="24" t="n">
        <f aca="false">Well_Data!$B$10-K211</f>
        <v>6059.41</v>
      </c>
      <c r="M211" s="24" t="n">
        <f aca="false">Well_Data!$B$10-K211+J211</f>
        <v>6090.06</v>
      </c>
      <c r="N211" s="25" t="n">
        <f aca="false">G211^2/1029.4</f>
        <v>0.0177619739654167</v>
      </c>
      <c r="O211" s="26" t="n">
        <f aca="false">N211*J211</f>
        <v>0.544404502040023</v>
      </c>
      <c r="P211" s="25" t="n">
        <f aca="false">(F211^2-G211^2)/1029.4</f>
        <v>0.00652401787449</v>
      </c>
      <c r="Q211" s="26" t="n">
        <f aca="false">P211*J211</f>
        <v>0.199961147853118</v>
      </c>
    </row>
    <row r="212" customFormat="false" ht="15" hidden="false" customHeight="true" outlineLevel="0" collapsed="false">
      <c r="A212" s="22" t="n">
        <v>211</v>
      </c>
      <c r="B212" s="22" t="n">
        <v>204</v>
      </c>
      <c r="C212" s="22" t="n">
        <v>57</v>
      </c>
      <c r="D212" s="22" t="s">
        <v>178</v>
      </c>
      <c r="E212" s="22" t="s">
        <v>179</v>
      </c>
      <c r="F212" s="23" t="n">
        <v>5</v>
      </c>
      <c r="G212" s="23" t="n">
        <v>4.276</v>
      </c>
      <c r="H212" s="20" t="n">
        <v>19.5</v>
      </c>
      <c r="I212" s="22" t="s">
        <v>180</v>
      </c>
      <c r="J212" s="20" t="n">
        <v>31.27</v>
      </c>
      <c r="K212" s="24" t="n">
        <f aca="false">K211+J212</f>
        <v>6471.86</v>
      </c>
      <c r="L212" s="24" t="n">
        <f aca="false">Well_Data!$B$10-K212</f>
        <v>6028.14</v>
      </c>
      <c r="M212" s="24" t="n">
        <f aca="false">Well_Data!$B$10-K212+J212</f>
        <v>6059.41</v>
      </c>
      <c r="N212" s="25" t="n">
        <f aca="false">G212^2/1029.4</f>
        <v>0.0177619739654167</v>
      </c>
      <c r="O212" s="26" t="n">
        <f aca="false">N212*J212</f>
        <v>0.555416925898582</v>
      </c>
      <c r="P212" s="25" t="n">
        <f aca="false">(F212^2-G212^2)/1029.4</f>
        <v>0.00652401787449</v>
      </c>
      <c r="Q212" s="26" t="n">
        <f aca="false">P212*J212</f>
        <v>0.204006038935302</v>
      </c>
    </row>
    <row r="213" customFormat="false" ht="15" hidden="false" customHeight="true" outlineLevel="0" collapsed="false">
      <c r="A213" s="22" t="n">
        <v>212</v>
      </c>
      <c r="B213" s="22" t="n">
        <v>205</v>
      </c>
      <c r="C213" s="22" t="n">
        <v>58</v>
      </c>
      <c r="D213" s="22" t="s">
        <v>178</v>
      </c>
      <c r="E213" s="22" t="s">
        <v>179</v>
      </c>
      <c r="F213" s="23" t="n">
        <v>5</v>
      </c>
      <c r="G213" s="23" t="n">
        <v>4.276</v>
      </c>
      <c r="H213" s="20" t="n">
        <v>19.5</v>
      </c>
      <c r="I213" s="22" t="s">
        <v>180</v>
      </c>
      <c r="J213" s="20" t="n">
        <v>31.31</v>
      </c>
      <c r="K213" s="24" t="n">
        <f aca="false">K212+J213</f>
        <v>6503.17</v>
      </c>
      <c r="L213" s="24" t="n">
        <f aca="false">Well_Data!$B$10-K213</f>
        <v>5996.83</v>
      </c>
      <c r="M213" s="24" t="n">
        <f aca="false">Well_Data!$B$10-K213+J213</f>
        <v>6028.14</v>
      </c>
      <c r="N213" s="25" t="n">
        <f aca="false">G213^2/1029.4</f>
        <v>0.0177619739654167</v>
      </c>
      <c r="O213" s="26" t="n">
        <f aca="false">N213*J213</f>
        <v>0.556127404857198</v>
      </c>
      <c r="P213" s="25" t="n">
        <f aca="false">(F213^2-G213^2)/1029.4</f>
        <v>0.00652401787449</v>
      </c>
      <c r="Q213" s="26" t="n">
        <f aca="false">P213*J213</f>
        <v>0.204266999650282</v>
      </c>
    </row>
    <row r="214" customFormat="false" ht="15" hidden="false" customHeight="true" outlineLevel="0" collapsed="false">
      <c r="A214" s="22" t="n">
        <v>213</v>
      </c>
      <c r="B214" s="22" t="n">
        <v>206</v>
      </c>
      <c r="C214" s="22" t="n">
        <v>58</v>
      </c>
      <c r="D214" s="22" t="s">
        <v>178</v>
      </c>
      <c r="E214" s="22" t="s">
        <v>179</v>
      </c>
      <c r="F214" s="23" t="n">
        <v>5</v>
      </c>
      <c r="G214" s="23" t="n">
        <v>4.276</v>
      </c>
      <c r="H214" s="20" t="n">
        <v>19.5</v>
      </c>
      <c r="I214" s="22" t="s">
        <v>180</v>
      </c>
      <c r="J214" s="20" t="n">
        <v>31.48</v>
      </c>
      <c r="K214" s="24" t="n">
        <f aca="false">K213+J214</f>
        <v>6534.65</v>
      </c>
      <c r="L214" s="24" t="n">
        <f aca="false">Well_Data!$B$10-K214</f>
        <v>5965.35</v>
      </c>
      <c r="M214" s="24" t="n">
        <f aca="false">Well_Data!$B$10-K214+J214</f>
        <v>5996.83</v>
      </c>
      <c r="N214" s="25" t="n">
        <f aca="false">G214^2/1029.4</f>
        <v>0.0177619739654167</v>
      </c>
      <c r="O214" s="26" t="n">
        <f aca="false">N214*J214</f>
        <v>0.559146940431319</v>
      </c>
      <c r="P214" s="25" t="n">
        <f aca="false">(F214^2-G214^2)/1029.4</f>
        <v>0.00652401787449</v>
      </c>
      <c r="Q214" s="26" t="n">
        <f aca="false">P214*J214</f>
        <v>0.205376082688945</v>
      </c>
    </row>
    <row r="215" customFormat="false" ht="15" hidden="false" customHeight="true" outlineLevel="0" collapsed="false">
      <c r="A215" s="22" t="n">
        <v>214</v>
      </c>
      <c r="B215" s="22" t="n">
        <v>207</v>
      </c>
      <c r="C215" s="22" t="n">
        <v>58</v>
      </c>
      <c r="D215" s="22" t="s">
        <v>178</v>
      </c>
      <c r="E215" s="22" t="s">
        <v>179</v>
      </c>
      <c r="F215" s="23" t="n">
        <v>5</v>
      </c>
      <c r="G215" s="23" t="n">
        <v>4.276</v>
      </c>
      <c r="H215" s="20" t="n">
        <v>19.5</v>
      </c>
      <c r="I215" s="22" t="s">
        <v>180</v>
      </c>
      <c r="J215" s="20" t="n">
        <v>30.85</v>
      </c>
      <c r="K215" s="24" t="n">
        <f aca="false">K214+J215</f>
        <v>6565.5</v>
      </c>
      <c r="L215" s="24" t="n">
        <f aca="false">Well_Data!$B$10-K215</f>
        <v>5934.5</v>
      </c>
      <c r="M215" s="24" t="n">
        <f aca="false">Well_Data!$B$10-K215+J215</f>
        <v>5965.35</v>
      </c>
      <c r="N215" s="25" t="n">
        <f aca="false">G215^2/1029.4</f>
        <v>0.0177619739654167</v>
      </c>
      <c r="O215" s="26" t="n">
        <f aca="false">N215*J215</f>
        <v>0.547956896833107</v>
      </c>
      <c r="P215" s="25" t="n">
        <f aca="false">(F215^2-G215^2)/1029.4</f>
        <v>0.00652401787449</v>
      </c>
      <c r="Q215" s="26" t="n">
        <f aca="false">P215*J215</f>
        <v>0.201265951428016</v>
      </c>
    </row>
    <row r="216" customFormat="false" ht="15" hidden="false" customHeight="true" outlineLevel="0" collapsed="false">
      <c r="A216" s="22" t="n">
        <v>215</v>
      </c>
      <c r="B216" s="22" t="n">
        <v>208</v>
      </c>
      <c r="C216" s="22" t="n">
        <v>59</v>
      </c>
      <c r="D216" s="22" t="s">
        <v>178</v>
      </c>
      <c r="E216" s="22" t="s">
        <v>179</v>
      </c>
      <c r="F216" s="23" t="n">
        <v>5</v>
      </c>
      <c r="G216" s="23" t="n">
        <v>4.276</v>
      </c>
      <c r="H216" s="20" t="n">
        <v>19.5</v>
      </c>
      <c r="I216" s="22" t="s">
        <v>180</v>
      </c>
      <c r="J216" s="20" t="n">
        <v>31.24</v>
      </c>
      <c r="K216" s="24" t="n">
        <f aca="false">K215+J216</f>
        <v>6596.74</v>
      </c>
      <c r="L216" s="24" t="n">
        <f aca="false">Well_Data!$B$10-K216</f>
        <v>5903.26</v>
      </c>
      <c r="M216" s="24" t="n">
        <f aca="false">Well_Data!$B$10-K216+J216</f>
        <v>5934.5</v>
      </c>
      <c r="N216" s="25" t="n">
        <f aca="false">G216^2/1029.4</f>
        <v>0.0177619739654167</v>
      </c>
      <c r="O216" s="26" t="n">
        <f aca="false">N216*J216</f>
        <v>0.554884066679619</v>
      </c>
      <c r="P216" s="25" t="n">
        <f aca="false">(F216^2-G216^2)/1029.4</f>
        <v>0.00652401787449</v>
      </c>
      <c r="Q216" s="26" t="n">
        <f aca="false">P216*J216</f>
        <v>0.203810318399067</v>
      </c>
    </row>
    <row r="217" customFormat="false" ht="15" hidden="false" customHeight="true" outlineLevel="0" collapsed="false">
      <c r="A217" s="22" t="n">
        <v>216</v>
      </c>
      <c r="B217" s="22" t="n">
        <v>209</v>
      </c>
      <c r="C217" s="22" t="n">
        <v>59</v>
      </c>
      <c r="D217" s="22" t="s">
        <v>178</v>
      </c>
      <c r="E217" s="22" t="s">
        <v>179</v>
      </c>
      <c r="F217" s="23" t="n">
        <v>5</v>
      </c>
      <c r="G217" s="23" t="n">
        <v>4.276</v>
      </c>
      <c r="H217" s="20" t="n">
        <v>19.5</v>
      </c>
      <c r="I217" s="22" t="s">
        <v>180</v>
      </c>
      <c r="J217" s="20" t="n">
        <v>31.05</v>
      </c>
      <c r="K217" s="24" t="n">
        <f aca="false">K216+J217</f>
        <v>6627.79</v>
      </c>
      <c r="L217" s="24" t="n">
        <f aca="false">Well_Data!$B$10-K217</f>
        <v>5872.21</v>
      </c>
      <c r="M217" s="24" t="n">
        <f aca="false">Well_Data!$B$10-K217+J217</f>
        <v>5903.26</v>
      </c>
      <c r="N217" s="25" t="n">
        <f aca="false">G217^2/1029.4</f>
        <v>0.0177619739654167</v>
      </c>
      <c r="O217" s="26" t="n">
        <f aca="false">N217*J217</f>
        <v>0.55150929162619</v>
      </c>
      <c r="P217" s="25" t="n">
        <f aca="false">(F217^2-G217^2)/1029.4</f>
        <v>0.00652401787449</v>
      </c>
      <c r="Q217" s="26" t="n">
        <f aca="false">P217*J217</f>
        <v>0.202570755002914</v>
      </c>
    </row>
    <row r="218" customFormat="false" ht="15" hidden="false" customHeight="true" outlineLevel="0" collapsed="false">
      <c r="A218" s="22" t="n">
        <v>217</v>
      </c>
      <c r="B218" s="22" t="n">
        <v>210</v>
      </c>
      <c r="C218" s="22" t="n">
        <v>59</v>
      </c>
      <c r="D218" s="22" t="s">
        <v>178</v>
      </c>
      <c r="E218" s="22" t="s">
        <v>179</v>
      </c>
      <c r="F218" s="23" t="n">
        <v>5</v>
      </c>
      <c r="G218" s="23" t="n">
        <v>4.276</v>
      </c>
      <c r="H218" s="20" t="n">
        <v>19.5</v>
      </c>
      <c r="I218" s="22" t="s">
        <v>180</v>
      </c>
      <c r="J218" s="20" t="n">
        <v>31.04</v>
      </c>
      <c r="K218" s="24" t="n">
        <f aca="false">K217+J218</f>
        <v>6658.83</v>
      </c>
      <c r="L218" s="24" t="n">
        <f aca="false">Well_Data!$B$10-K218</f>
        <v>5841.17</v>
      </c>
      <c r="M218" s="24" t="n">
        <f aca="false">Well_Data!$B$10-K218+J218</f>
        <v>5872.21</v>
      </c>
      <c r="N218" s="25" t="n">
        <f aca="false">G218^2/1029.4</f>
        <v>0.0177619739654167</v>
      </c>
      <c r="O218" s="26" t="n">
        <f aca="false">N218*J218</f>
        <v>0.551331671886536</v>
      </c>
      <c r="P218" s="25" t="n">
        <f aca="false">(F218^2-G218^2)/1029.4</f>
        <v>0.00652401787449</v>
      </c>
      <c r="Q218" s="26" t="n">
        <f aca="false">P218*J218</f>
        <v>0.202505514824169</v>
      </c>
    </row>
    <row r="219" customFormat="false" ht="15" hidden="false" customHeight="true" outlineLevel="0" collapsed="false">
      <c r="A219" s="22" t="n">
        <v>218</v>
      </c>
      <c r="B219" s="22" t="n">
        <v>211</v>
      </c>
      <c r="C219" s="22" t="n">
        <v>60</v>
      </c>
      <c r="D219" s="22" t="s">
        <v>178</v>
      </c>
      <c r="E219" s="22" t="s">
        <v>179</v>
      </c>
      <c r="F219" s="23" t="n">
        <v>5</v>
      </c>
      <c r="G219" s="23" t="n">
        <v>4.276</v>
      </c>
      <c r="H219" s="20" t="n">
        <v>19.5</v>
      </c>
      <c r="I219" s="22" t="s">
        <v>180</v>
      </c>
      <c r="J219" s="20" t="n">
        <v>31.1</v>
      </c>
      <c r="K219" s="24" t="n">
        <f aca="false">K218+J219</f>
        <v>6689.93</v>
      </c>
      <c r="L219" s="24" t="n">
        <f aca="false">Well_Data!$B$10-K219</f>
        <v>5810.07</v>
      </c>
      <c r="M219" s="24" t="n">
        <f aca="false">Well_Data!$B$10-K219+J219</f>
        <v>5841.17</v>
      </c>
      <c r="N219" s="25" t="n">
        <f aca="false">G219^2/1029.4</f>
        <v>0.0177619739654167</v>
      </c>
      <c r="O219" s="26" t="n">
        <f aca="false">N219*J219</f>
        <v>0.552397390324461</v>
      </c>
      <c r="P219" s="25" t="n">
        <f aca="false">(F219^2-G219^2)/1029.4</f>
        <v>0.00652401787449</v>
      </c>
      <c r="Q219" s="26" t="n">
        <f aca="false">P219*J219</f>
        <v>0.202896955896639</v>
      </c>
    </row>
    <row r="220" customFormat="false" ht="15" hidden="false" customHeight="true" outlineLevel="0" collapsed="false">
      <c r="A220" s="22" t="n">
        <v>219</v>
      </c>
      <c r="B220" s="22" t="n">
        <v>212</v>
      </c>
      <c r="C220" s="22" t="n">
        <v>60</v>
      </c>
      <c r="D220" s="22" t="s">
        <v>178</v>
      </c>
      <c r="E220" s="22" t="s">
        <v>179</v>
      </c>
      <c r="F220" s="23" t="n">
        <v>5</v>
      </c>
      <c r="G220" s="23" t="n">
        <v>4.276</v>
      </c>
      <c r="H220" s="20" t="n">
        <v>19.5</v>
      </c>
      <c r="I220" s="22" t="s">
        <v>180</v>
      </c>
      <c r="J220" s="20" t="n">
        <v>31.17</v>
      </c>
      <c r="K220" s="24" t="n">
        <f aca="false">K219+J220</f>
        <v>6721.1</v>
      </c>
      <c r="L220" s="24" t="n">
        <f aca="false">Well_Data!$B$10-K220</f>
        <v>5778.9</v>
      </c>
      <c r="M220" s="24" t="n">
        <f aca="false">Well_Data!$B$10-K220+J220</f>
        <v>5810.07</v>
      </c>
      <c r="N220" s="25" t="n">
        <f aca="false">G220^2/1029.4</f>
        <v>0.0177619739654167</v>
      </c>
      <c r="O220" s="26" t="n">
        <f aca="false">N220*J220</f>
        <v>0.55364072850204</v>
      </c>
      <c r="P220" s="25" t="n">
        <f aca="false">(F220^2-G220^2)/1029.4</f>
        <v>0.00652401787449</v>
      </c>
      <c r="Q220" s="26" t="n">
        <f aca="false">P220*J220</f>
        <v>0.203353637147853</v>
      </c>
    </row>
    <row r="221" customFormat="false" ht="15" hidden="false" customHeight="true" outlineLevel="0" collapsed="false">
      <c r="A221" s="22" t="n">
        <v>220</v>
      </c>
      <c r="B221" s="22" t="n">
        <v>213</v>
      </c>
      <c r="C221" s="22" t="n">
        <v>60</v>
      </c>
      <c r="D221" s="22" t="s">
        <v>178</v>
      </c>
      <c r="E221" s="22" t="s">
        <v>179</v>
      </c>
      <c r="F221" s="23" t="n">
        <v>5</v>
      </c>
      <c r="G221" s="23" t="n">
        <v>4.276</v>
      </c>
      <c r="H221" s="20" t="n">
        <v>19.5</v>
      </c>
      <c r="I221" s="22" t="s">
        <v>180</v>
      </c>
      <c r="J221" s="20" t="n">
        <v>31.07</v>
      </c>
      <c r="K221" s="24" t="n">
        <f aca="false">K220+J221</f>
        <v>6752.17</v>
      </c>
      <c r="L221" s="24" t="n">
        <f aca="false">Well_Data!$B$10-K221</f>
        <v>5747.83</v>
      </c>
      <c r="M221" s="24" t="n">
        <f aca="false">Well_Data!$B$10-K221+J221</f>
        <v>5778.9</v>
      </c>
      <c r="N221" s="25" t="n">
        <f aca="false">G221^2/1029.4</f>
        <v>0.0177619739654167</v>
      </c>
      <c r="O221" s="26" t="n">
        <f aca="false">N221*J221</f>
        <v>0.551864531105498</v>
      </c>
      <c r="P221" s="25" t="n">
        <f aca="false">(F221^2-G221^2)/1029.4</f>
        <v>0.00652401787449</v>
      </c>
      <c r="Q221" s="26" t="n">
        <f aca="false">P221*J221</f>
        <v>0.202701235360404</v>
      </c>
    </row>
    <row r="222" customFormat="false" ht="15" hidden="false" customHeight="true" outlineLevel="0" collapsed="false">
      <c r="A222" s="22" t="n">
        <v>221</v>
      </c>
      <c r="B222" s="22" t="n">
        <v>214</v>
      </c>
      <c r="C222" s="22" t="n">
        <v>61</v>
      </c>
      <c r="D222" s="22" t="s">
        <v>178</v>
      </c>
      <c r="E222" s="22" t="s">
        <v>179</v>
      </c>
      <c r="F222" s="23" t="n">
        <v>5</v>
      </c>
      <c r="G222" s="23" t="n">
        <v>4.276</v>
      </c>
      <c r="H222" s="20" t="n">
        <v>19.5</v>
      </c>
      <c r="I222" s="22" t="s">
        <v>180</v>
      </c>
      <c r="J222" s="20" t="n">
        <v>30.92</v>
      </c>
      <c r="K222" s="24" t="n">
        <f aca="false">K221+J222</f>
        <v>6783.09</v>
      </c>
      <c r="L222" s="24" t="n">
        <f aca="false">Well_Data!$B$10-K222</f>
        <v>5716.91</v>
      </c>
      <c r="M222" s="24" t="n">
        <f aca="false">Well_Data!$B$10-K222+J222</f>
        <v>5747.83</v>
      </c>
      <c r="N222" s="25" t="n">
        <f aca="false">G222^2/1029.4</f>
        <v>0.0177619739654167</v>
      </c>
      <c r="O222" s="26" t="n">
        <f aca="false">N222*J222</f>
        <v>0.549200235010686</v>
      </c>
      <c r="P222" s="25" t="n">
        <f aca="false">(F222^2-G222^2)/1029.4</f>
        <v>0.00652401787449</v>
      </c>
      <c r="Q222" s="26" t="n">
        <f aca="false">P222*J222</f>
        <v>0.201722632679231</v>
      </c>
    </row>
    <row r="223" customFormat="false" ht="15" hidden="false" customHeight="true" outlineLevel="0" collapsed="false">
      <c r="A223" s="22" t="n">
        <v>222</v>
      </c>
      <c r="B223" s="22" t="n">
        <v>215</v>
      </c>
      <c r="C223" s="22" t="n">
        <v>61</v>
      </c>
      <c r="D223" s="22" t="s">
        <v>178</v>
      </c>
      <c r="E223" s="22" t="s">
        <v>179</v>
      </c>
      <c r="F223" s="23" t="n">
        <v>5</v>
      </c>
      <c r="G223" s="23" t="n">
        <v>4.276</v>
      </c>
      <c r="H223" s="20" t="n">
        <v>19.5</v>
      </c>
      <c r="I223" s="22" t="s">
        <v>180</v>
      </c>
      <c r="J223" s="20" t="n">
        <v>31.29</v>
      </c>
      <c r="K223" s="24" t="n">
        <f aca="false">K222+J223</f>
        <v>6814.38</v>
      </c>
      <c r="L223" s="24" t="n">
        <f aca="false">Well_Data!$B$10-K223</f>
        <v>5685.62</v>
      </c>
      <c r="M223" s="24" t="n">
        <f aca="false">Well_Data!$B$10-K223+J223</f>
        <v>5716.91</v>
      </c>
      <c r="N223" s="25" t="n">
        <f aca="false">G223^2/1029.4</f>
        <v>0.0177619739654167</v>
      </c>
      <c r="O223" s="26" t="n">
        <f aca="false">N223*J223</f>
        <v>0.55577216537789</v>
      </c>
      <c r="P223" s="25" t="n">
        <f aca="false">(F223^2-G223^2)/1029.4</f>
        <v>0.00652401787449</v>
      </c>
      <c r="Q223" s="26" t="n">
        <f aca="false">P223*J223</f>
        <v>0.204136519292792</v>
      </c>
    </row>
    <row r="224" customFormat="false" ht="15" hidden="false" customHeight="true" outlineLevel="0" collapsed="false">
      <c r="A224" s="22" t="n">
        <v>223</v>
      </c>
      <c r="B224" s="22" t="n">
        <v>216</v>
      </c>
      <c r="C224" s="22" t="n">
        <v>61</v>
      </c>
      <c r="D224" s="22" t="s">
        <v>178</v>
      </c>
      <c r="E224" s="22" t="s">
        <v>179</v>
      </c>
      <c r="F224" s="23" t="n">
        <v>5</v>
      </c>
      <c r="G224" s="23" t="n">
        <v>4.276</v>
      </c>
      <c r="H224" s="20" t="n">
        <v>19.5</v>
      </c>
      <c r="I224" s="22" t="s">
        <v>180</v>
      </c>
      <c r="J224" s="20" t="n">
        <v>31.38</v>
      </c>
      <c r="K224" s="24" t="n">
        <f aca="false">K223+J224</f>
        <v>6845.76</v>
      </c>
      <c r="L224" s="24" t="n">
        <f aca="false">Well_Data!$B$10-K224</f>
        <v>5654.24</v>
      </c>
      <c r="M224" s="24" t="n">
        <f aca="false">Well_Data!$B$10-K224+J224</f>
        <v>5685.62</v>
      </c>
      <c r="N224" s="25" t="n">
        <f aca="false">G224^2/1029.4</f>
        <v>0.0177619739654167</v>
      </c>
      <c r="O224" s="26" t="n">
        <f aca="false">N224*J224</f>
        <v>0.557370743034777</v>
      </c>
      <c r="P224" s="25" t="n">
        <f aca="false">(F224^2-G224^2)/1029.4</f>
        <v>0.00652401787449</v>
      </c>
      <c r="Q224" s="26" t="n">
        <f aca="false">P224*J224</f>
        <v>0.204723680901496</v>
      </c>
    </row>
    <row r="225" customFormat="false" ht="15" hidden="false" customHeight="true" outlineLevel="0" collapsed="false">
      <c r="A225" s="22" t="n">
        <v>224</v>
      </c>
      <c r="B225" s="22" t="n">
        <v>217</v>
      </c>
      <c r="C225" s="22" t="n">
        <v>62</v>
      </c>
      <c r="D225" s="22" t="s">
        <v>178</v>
      </c>
      <c r="E225" s="22" t="s">
        <v>179</v>
      </c>
      <c r="F225" s="23" t="n">
        <v>5</v>
      </c>
      <c r="G225" s="23" t="n">
        <v>4.276</v>
      </c>
      <c r="H225" s="20" t="n">
        <v>19.5</v>
      </c>
      <c r="I225" s="22" t="s">
        <v>180</v>
      </c>
      <c r="J225" s="20" t="n">
        <v>30.8</v>
      </c>
      <c r="K225" s="24" t="n">
        <f aca="false">K224+J225</f>
        <v>6876.56</v>
      </c>
      <c r="L225" s="24" t="n">
        <f aca="false">Well_Data!$B$10-K225</f>
        <v>5623.44</v>
      </c>
      <c r="M225" s="24" t="n">
        <f aca="false">Well_Data!$B$10-K225+J225</f>
        <v>5654.24</v>
      </c>
      <c r="N225" s="25" t="n">
        <f aca="false">G225^2/1029.4</f>
        <v>0.0177619739654167</v>
      </c>
      <c r="O225" s="26" t="n">
        <f aca="false">N225*J225</f>
        <v>0.547068798134836</v>
      </c>
      <c r="P225" s="25" t="n">
        <f aca="false">(F225^2-G225^2)/1029.4</f>
        <v>0.00652401787449</v>
      </c>
      <c r="Q225" s="26" t="n">
        <f aca="false">P225*J225</f>
        <v>0.200939750534292</v>
      </c>
    </row>
    <row r="226" customFormat="false" ht="15" hidden="false" customHeight="true" outlineLevel="0" collapsed="false">
      <c r="A226" s="22" t="n">
        <v>225</v>
      </c>
      <c r="B226" s="22" t="n">
        <v>218</v>
      </c>
      <c r="C226" s="22" t="n">
        <v>62</v>
      </c>
      <c r="D226" s="22" t="s">
        <v>178</v>
      </c>
      <c r="E226" s="22" t="s">
        <v>179</v>
      </c>
      <c r="F226" s="23" t="n">
        <v>5</v>
      </c>
      <c r="G226" s="23" t="n">
        <v>4.276</v>
      </c>
      <c r="H226" s="20" t="n">
        <v>19.5</v>
      </c>
      <c r="I226" s="22" t="s">
        <v>180</v>
      </c>
      <c r="J226" s="20" t="n">
        <v>30.91</v>
      </c>
      <c r="K226" s="24" t="n">
        <f aca="false">K225+J226</f>
        <v>6907.47</v>
      </c>
      <c r="L226" s="24" t="n">
        <f aca="false">Well_Data!$B$10-K226</f>
        <v>5592.53</v>
      </c>
      <c r="M226" s="24" t="n">
        <f aca="false">Well_Data!$B$10-K226+J226</f>
        <v>5623.44</v>
      </c>
      <c r="N226" s="25" t="n">
        <f aca="false">G226^2/1029.4</f>
        <v>0.0177619739654167</v>
      </c>
      <c r="O226" s="26" t="n">
        <f aca="false">N226*J226</f>
        <v>0.549022615271032</v>
      </c>
      <c r="P226" s="25" t="n">
        <f aca="false">(F226^2-G226^2)/1029.4</f>
        <v>0.00652401787449</v>
      </c>
      <c r="Q226" s="26" t="n">
        <f aca="false">P226*J226</f>
        <v>0.201657392500486</v>
      </c>
    </row>
    <row r="227" customFormat="false" ht="15" hidden="false" customHeight="true" outlineLevel="0" collapsed="false">
      <c r="A227" s="22" t="n">
        <v>226</v>
      </c>
      <c r="B227" s="22" t="n">
        <v>219</v>
      </c>
      <c r="C227" s="22" t="n">
        <v>62</v>
      </c>
      <c r="D227" s="22" t="s">
        <v>178</v>
      </c>
      <c r="E227" s="22" t="s">
        <v>179</v>
      </c>
      <c r="F227" s="23" t="n">
        <v>5</v>
      </c>
      <c r="G227" s="23" t="n">
        <v>4.276</v>
      </c>
      <c r="H227" s="20" t="n">
        <v>19.5</v>
      </c>
      <c r="I227" s="22" t="s">
        <v>180</v>
      </c>
      <c r="J227" s="20" t="n">
        <v>31.37</v>
      </c>
      <c r="K227" s="24" t="n">
        <f aca="false">K226+J227</f>
        <v>6938.84</v>
      </c>
      <c r="L227" s="24" t="n">
        <f aca="false">Well_Data!$B$10-K227</f>
        <v>5561.16</v>
      </c>
      <c r="M227" s="24" t="n">
        <f aca="false">Well_Data!$B$10-K227+J227</f>
        <v>5592.53</v>
      </c>
      <c r="N227" s="25" t="n">
        <f aca="false">G227^2/1029.4</f>
        <v>0.0177619739654167</v>
      </c>
      <c r="O227" s="26" t="n">
        <f aca="false">N227*J227</f>
        <v>0.557193123295123</v>
      </c>
      <c r="P227" s="25" t="n">
        <f aca="false">(F227^2-G227^2)/1029.4</f>
        <v>0.00652401787449</v>
      </c>
      <c r="Q227" s="26" t="n">
        <f aca="false">P227*J227</f>
        <v>0.204658440722751</v>
      </c>
    </row>
    <row r="228" customFormat="false" ht="15" hidden="false" customHeight="true" outlineLevel="0" collapsed="false">
      <c r="A228" s="22" t="n">
        <v>227</v>
      </c>
      <c r="B228" s="22" t="n">
        <v>220</v>
      </c>
      <c r="C228" s="22" t="n">
        <v>63</v>
      </c>
      <c r="D228" s="22" t="s">
        <v>178</v>
      </c>
      <c r="E228" s="22" t="s">
        <v>179</v>
      </c>
      <c r="F228" s="23" t="n">
        <v>5</v>
      </c>
      <c r="G228" s="23" t="n">
        <v>4.276</v>
      </c>
      <c r="H228" s="20" t="n">
        <v>19.5</v>
      </c>
      <c r="I228" s="22" t="s">
        <v>180</v>
      </c>
      <c r="J228" s="20" t="n">
        <v>31.18</v>
      </c>
      <c r="K228" s="24" t="n">
        <f aca="false">K227+J228</f>
        <v>6970.02</v>
      </c>
      <c r="L228" s="24" t="n">
        <f aca="false">Well_Data!$B$10-K228</f>
        <v>5529.98</v>
      </c>
      <c r="M228" s="24" t="n">
        <f aca="false">Well_Data!$B$10-K228+J228</f>
        <v>5561.16</v>
      </c>
      <c r="N228" s="25" t="n">
        <f aca="false">G228^2/1029.4</f>
        <v>0.0177619739654167</v>
      </c>
      <c r="O228" s="26" t="n">
        <f aca="false">N228*J228</f>
        <v>0.553818348241694</v>
      </c>
      <c r="P228" s="25" t="n">
        <f aca="false">(F228^2-G228^2)/1029.4</f>
        <v>0.00652401787449</v>
      </c>
      <c r="Q228" s="26" t="n">
        <f aca="false">P228*J228</f>
        <v>0.203418877326598</v>
      </c>
    </row>
    <row r="229" customFormat="false" ht="15" hidden="false" customHeight="true" outlineLevel="0" collapsed="false">
      <c r="A229" s="22" t="n">
        <v>228</v>
      </c>
      <c r="B229" s="22" t="n">
        <v>221</v>
      </c>
      <c r="C229" s="22" t="n">
        <v>63</v>
      </c>
      <c r="D229" s="22" t="s">
        <v>178</v>
      </c>
      <c r="E229" s="22" t="s">
        <v>179</v>
      </c>
      <c r="F229" s="23" t="n">
        <v>5</v>
      </c>
      <c r="G229" s="23" t="n">
        <v>4.276</v>
      </c>
      <c r="H229" s="20" t="n">
        <v>19.5</v>
      </c>
      <c r="I229" s="22" t="s">
        <v>180</v>
      </c>
      <c r="J229" s="20" t="n">
        <v>31.42</v>
      </c>
      <c r="K229" s="24" t="n">
        <f aca="false">K228+J229</f>
        <v>7001.44</v>
      </c>
      <c r="L229" s="24" t="n">
        <f aca="false">Well_Data!$B$10-K229</f>
        <v>5498.56</v>
      </c>
      <c r="M229" s="24" t="n">
        <f aca="false">Well_Data!$B$10-K229+J229</f>
        <v>5529.98</v>
      </c>
      <c r="N229" s="25" t="n">
        <f aca="false">G229^2/1029.4</f>
        <v>0.0177619739654167</v>
      </c>
      <c r="O229" s="26" t="n">
        <f aca="false">N229*J229</f>
        <v>0.558081221993394</v>
      </c>
      <c r="P229" s="25" t="n">
        <f aca="false">(F229^2-G229^2)/1029.4</f>
        <v>0.00652401787449</v>
      </c>
      <c r="Q229" s="26" t="n">
        <f aca="false">P229*J229</f>
        <v>0.204984641616476</v>
      </c>
    </row>
    <row r="230" customFormat="false" ht="15" hidden="false" customHeight="true" outlineLevel="0" collapsed="false">
      <c r="A230" s="22" t="n">
        <v>229</v>
      </c>
      <c r="B230" s="22" t="n">
        <v>222</v>
      </c>
      <c r="C230" s="22" t="n">
        <v>63</v>
      </c>
      <c r="D230" s="22" t="s">
        <v>178</v>
      </c>
      <c r="E230" s="22" t="s">
        <v>179</v>
      </c>
      <c r="F230" s="23" t="n">
        <v>5</v>
      </c>
      <c r="G230" s="23" t="n">
        <v>4.276</v>
      </c>
      <c r="H230" s="20" t="n">
        <v>19.5</v>
      </c>
      <c r="I230" s="22" t="s">
        <v>180</v>
      </c>
      <c r="J230" s="20" t="n">
        <v>31.42</v>
      </c>
      <c r="K230" s="24" t="n">
        <f aca="false">K229+J230</f>
        <v>7032.86</v>
      </c>
      <c r="L230" s="24" t="n">
        <f aca="false">Well_Data!$B$10-K230</f>
        <v>5467.14</v>
      </c>
      <c r="M230" s="24" t="n">
        <f aca="false">Well_Data!$B$10-K230+J230</f>
        <v>5498.56</v>
      </c>
      <c r="N230" s="25" t="n">
        <f aca="false">G230^2/1029.4</f>
        <v>0.0177619739654167</v>
      </c>
      <c r="O230" s="26" t="n">
        <f aca="false">N230*J230</f>
        <v>0.558081221993394</v>
      </c>
      <c r="P230" s="25" t="n">
        <f aca="false">(F230^2-G230^2)/1029.4</f>
        <v>0.00652401787449</v>
      </c>
      <c r="Q230" s="26" t="n">
        <f aca="false">P230*J230</f>
        <v>0.204984641616476</v>
      </c>
    </row>
    <row r="231" customFormat="false" ht="15" hidden="false" customHeight="true" outlineLevel="0" collapsed="false">
      <c r="A231" s="22" t="n">
        <v>230</v>
      </c>
      <c r="B231" s="22" t="n">
        <v>223</v>
      </c>
      <c r="C231" s="22" t="n">
        <v>64</v>
      </c>
      <c r="D231" s="22" t="s">
        <v>178</v>
      </c>
      <c r="E231" s="22" t="s">
        <v>179</v>
      </c>
      <c r="F231" s="23" t="n">
        <v>5</v>
      </c>
      <c r="G231" s="23" t="n">
        <v>4.276</v>
      </c>
      <c r="H231" s="20" t="n">
        <v>19.5</v>
      </c>
      <c r="I231" s="22" t="s">
        <v>180</v>
      </c>
      <c r="J231" s="20" t="n">
        <v>31.35</v>
      </c>
      <c r="K231" s="24" t="n">
        <f aca="false">K230+J231</f>
        <v>7064.21</v>
      </c>
      <c r="L231" s="24" t="n">
        <f aca="false">Well_Data!$B$10-K231</f>
        <v>5435.79</v>
      </c>
      <c r="M231" s="24" t="n">
        <f aca="false">Well_Data!$B$10-K231+J231</f>
        <v>5467.14</v>
      </c>
      <c r="N231" s="25" t="n">
        <f aca="false">G231^2/1029.4</f>
        <v>0.0177619739654167</v>
      </c>
      <c r="O231" s="26" t="n">
        <f aca="false">N231*J231</f>
        <v>0.556837883815815</v>
      </c>
      <c r="P231" s="25" t="n">
        <f aca="false">(F231^2-G231^2)/1029.4</f>
        <v>0.00652401787449</v>
      </c>
      <c r="Q231" s="26" t="n">
        <f aca="false">P231*J231</f>
        <v>0.204527960365261</v>
      </c>
    </row>
    <row r="232" customFormat="false" ht="15" hidden="false" customHeight="true" outlineLevel="0" collapsed="false">
      <c r="A232" s="22" t="n">
        <v>231</v>
      </c>
      <c r="B232" s="22" t="n">
        <v>224</v>
      </c>
      <c r="C232" s="22" t="n">
        <v>64</v>
      </c>
      <c r="D232" s="22" t="s">
        <v>178</v>
      </c>
      <c r="E232" s="22" t="s">
        <v>179</v>
      </c>
      <c r="F232" s="23" t="n">
        <v>5</v>
      </c>
      <c r="G232" s="23" t="n">
        <v>4.276</v>
      </c>
      <c r="H232" s="20" t="n">
        <v>19.5</v>
      </c>
      <c r="I232" s="22" t="s">
        <v>180</v>
      </c>
      <c r="J232" s="20" t="n">
        <v>31.16</v>
      </c>
      <c r="K232" s="24" t="n">
        <f aca="false">K231+J232</f>
        <v>7095.37</v>
      </c>
      <c r="L232" s="24" t="n">
        <f aca="false">Well_Data!$B$10-K232</f>
        <v>5404.63</v>
      </c>
      <c r="M232" s="24" t="n">
        <f aca="false">Well_Data!$B$10-K232+J232</f>
        <v>5435.79</v>
      </c>
      <c r="N232" s="25" t="n">
        <f aca="false">G232^2/1029.4</f>
        <v>0.0177619739654167</v>
      </c>
      <c r="O232" s="26" t="n">
        <f aca="false">N232*J232</f>
        <v>0.553463108762386</v>
      </c>
      <c r="P232" s="25" t="n">
        <f aca="false">(F232^2-G232^2)/1029.4</f>
        <v>0.00652401787449</v>
      </c>
      <c r="Q232" s="26" t="n">
        <f aca="false">P232*J232</f>
        <v>0.203288396969108</v>
      </c>
    </row>
    <row r="233" customFormat="false" ht="15" hidden="false" customHeight="true" outlineLevel="0" collapsed="false">
      <c r="A233" s="22" t="n">
        <v>232</v>
      </c>
      <c r="B233" s="22" t="n">
        <v>225</v>
      </c>
      <c r="C233" s="22" t="n">
        <v>64</v>
      </c>
      <c r="D233" s="22" t="s">
        <v>178</v>
      </c>
      <c r="E233" s="22" t="s">
        <v>179</v>
      </c>
      <c r="F233" s="23" t="n">
        <v>5</v>
      </c>
      <c r="G233" s="23" t="n">
        <v>4.276</v>
      </c>
      <c r="H233" s="20" t="n">
        <v>19.5</v>
      </c>
      <c r="I233" s="22" t="s">
        <v>180</v>
      </c>
      <c r="J233" s="20" t="n">
        <v>31.08</v>
      </c>
      <c r="K233" s="24" t="n">
        <f aca="false">K232+J233</f>
        <v>7126.45</v>
      </c>
      <c r="L233" s="24" t="n">
        <f aca="false">Well_Data!$B$10-K233</f>
        <v>5373.55</v>
      </c>
      <c r="M233" s="24" t="n">
        <f aca="false">Well_Data!$B$10-K233+J233</f>
        <v>5404.63</v>
      </c>
      <c r="N233" s="25" t="n">
        <f aca="false">G233^2/1029.4</f>
        <v>0.0177619739654167</v>
      </c>
      <c r="O233" s="26" t="n">
        <f aca="false">N233*J233</f>
        <v>0.552042150845152</v>
      </c>
      <c r="P233" s="25" t="n">
        <f aca="false">(F233^2-G233^2)/1029.4</f>
        <v>0.00652401787449</v>
      </c>
      <c r="Q233" s="26" t="n">
        <f aca="false">P233*J233</f>
        <v>0.202766475539149</v>
      </c>
    </row>
    <row r="234" customFormat="false" ht="15" hidden="false" customHeight="true" outlineLevel="0" collapsed="false">
      <c r="A234" s="22" t="n">
        <v>233</v>
      </c>
      <c r="B234" s="22" t="n">
        <v>226</v>
      </c>
      <c r="C234" s="22" t="n">
        <v>65</v>
      </c>
      <c r="D234" s="22" t="s">
        <v>178</v>
      </c>
      <c r="E234" s="22" t="s">
        <v>179</v>
      </c>
      <c r="F234" s="23" t="n">
        <v>5</v>
      </c>
      <c r="G234" s="23" t="n">
        <v>4.276</v>
      </c>
      <c r="H234" s="20" t="n">
        <v>19.5</v>
      </c>
      <c r="I234" s="22" t="s">
        <v>180</v>
      </c>
      <c r="J234" s="20" t="n">
        <v>30.94</v>
      </c>
      <c r="K234" s="24" t="n">
        <f aca="false">K233+J234</f>
        <v>7157.39</v>
      </c>
      <c r="L234" s="24" t="n">
        <f aca="false">Well_Data!$B$10-K234</f>
        <v>5342.61</v>
      </c>
      <c r="M234" s="24" t="n">
        <f aca="false">Well_Data!$B$10-K234+J234</f>
        <v>5373.55</v>
      </c>
      <c r="N234" s="25" t="n">
        <f aca="false">G234^2/1029.4</f>
        <v>0.0177619739654167</v>
      </c>
      <c r="O234" s="26" t="n">
        <f aca="false">N234*J234</f>
        <v>0.549555474489994</v>
      </c>
      <c r="P234" s="25" t="n">
        <f aca="false">(F234^2-G234^2)/1029.4</f>
        <v>0.00652401787449</v>
      </c>
      <c r="Q234" s="26" t="n">
        <f aca="false">P234*J234</f>
        <v>0.20185311303672</v>
      </c>
    </row>
    <row r="235" customFormat="false" ht="15" hidden="false" customHeight="true" outlineLevel="0" collapsed="false">
      <c r="A235" s="22" t="n">
        <v>234</v>
      </c>
      <c r="B235" s="22" t="n">
        <v>227</v>
      </c>
      <c r="C235" s="22" t="n">
        <v>65</v>
      </c>
      <c r="D235" s="22" t="s">
        <v>178</v>
      </c>
      <c r="E235" s="22" t="s">
        <v>179</v>
      </c>
      <c r="F235" s="23" t="n">
        <v>5</v>
      </c>
      <c r="G235" s="23" t="n">
        <v>4.276</v>
      </c>
      <c r="H235" s="20" t="n">
        <v>19.5</v>
      </c>
      <c r="I235" s="22" t="s">
        <v>180</v>
      </c>
      <c r="J235" s="20" t="n">
        <v>30.82</v>
      </c>
      <c r="K235" s="24" t="n">
        <f aca="false">K234+J235</f>
        <v>7188.21</v>
      </c>
      <c r="L235" s="24" t="n">
        <f aca="false">Well_Data!$B$10-K235</f>
        <v>5311.79</v>
      </c>
      <c r="M235" s="24" t="n">
        <f aca="false">Well_Data!$B$10-K235+J235</f>
        <v>5342.61</v>
      </c>
      <c r="N235" s="25" t="n">
        <f aca="false">G235^2/1029.4</f>
        <v>0.0177619739654167</v>
      </c>
      <c r="O235" s="26" t="n">
        <f aca="false">N235*J235</f>
        <v>0.547424037614144</v>
      </c>
      <c r="P235" s="25" t="n">
        <f aca="false">(F235^2-G235^2)/1029.4</f>
        <v>0.00652401787449</v>
      </c>
      <c r="Q235" s="26" t="n">
        <f aca="false">P235*J235</f>
        <v>0.201070230891782</v>
      </c>
    </row>
    <row r="236" customFormat="false" ht="15" hidden="false" customHeight="true" outlineLevel="0" collapsed="false">
      <c r="A236" s="22" t="n">
        <v>235</v>
      </c>
      <c r="B236" s="22" t="n">
        <v>228</v>
      </c>
      <c r="C236" s="22" t="n">
        <v>65</v>
      </c>
      <c r="D236" s="22" t="s">
        <v>178</v>
      </c>
      <c r="E236" s="22" t="s">
        <v>179</v>
      </c>
      <c r="F236" s="23" t="n">
        <v>5</v>
      </c>
      <c r="G236" s="23" t="n">
        <v>4.276</v>
      </c>
      <c r="H236" s="20" t="n">
        <v>19.5</v>
      </c>
      <c r="I236" s="22" t="s">
        <v>180</v>
      </c>
      <c r="J236" s="20" t="n">
        <v>30.74</v>
      </c>
      <c r="K236" s="24" t="n">
        <f aca="false">K235+J236</f>
        <v>7218.95</v>
      </c>
      <c r="L236" s="24" t="n">
        <f aca="false">Well_Data!$B$10-K236</f>
        <v>5281.05</v>
      </c>
      <c r="M236" s="24" t="n">
        <f aca="false">Well_Data!$B$10-K236+J236</f>
        <v>5311.79</v>
      </c>
      <c r="N236" s="25" t="n">
        <f aca="false">G236^2/1029.4</f>
        <v>0.0177619739654167</v>
      </c>
      <c r="O236" s="26" t="n">
        <f aca="false">N236*J236</f>
        <v>0.546003079696911</v>
      </c>
      <c r="P236" s="25" t="n">
        <f aca="false">(F236^2-G236^2)/1029.4</f>
        <v>0.00652401787449</v>
      </c>
      <c r="Q236" s="26" t="n">
        <f aca="false">P236*J236</f>
        <v>0.200548309461822</v>
      </c>
    </row>
    <row r="237" customFormat="false" ht="15" hidden="false" customHeight="true" outlineLevel="0" collapsed="false">
      <c r="A237" s="22" t="n">
        <v>236</v>
      </c>
      <c r="B237" s="22" t="n">
        <v>229</v>
      </c>
      <c r="C237" s="22" t="n">
        <v>66</v>
      </c>
      <c r="D237" s="22" t="s">
        <v>178</v>
      </c>
      <c r="E237" s="22" t="s">
        <v>179</v>
      </c>
      <c r="F237" s="23" t="n">
        <v>5</v>
      </c>
      <c r="G237" s="23" t="n">
        <v>4.276</v>
      </c>
      <c r="H237" s="20" t="n">
        <v>19.5</v>
      </c>
      <c r="I237" s="22" t="s">
        <v>180</v>
      </c>
      <c r="J237" s="20" t="n">
        <v>31.16</v>
      </c>
      <c r="K237" s="24" t="n">
        <f aca="false">K236+J237</f>
        <v>7250.11</v>
      </c>
      <c r="L237" s="24" t="n">
        <f aca="false">Well_Data!$B$10-K237</f>
        <v>5249.89</v>
      </c>
      <c r="M237" s="24" t="n">
        <f aca="false">Well_Data!$B$10-K237+J237</f>
        <v>5281.05</v>
      </c>
      <c r="N237" s="25" t="n">
        <f aca="false">G237^2/1029.4</f>
        <v>0.0177619739654167</v>
      </c>
      <c r="O237" s="26" t="n">
        <f aca="false">N237*J237</f>
        <v>0.553463108762386</v>
      </c>
      <c r="P237" s="25" t="n">
        <f aca="false">(F237^2-G237^2)/1029.4</f>
        <v>0.00652401787449</v>
      </c>
      <c r="Q237" s="26" t="n">
        <f aca="false">P237*J237</f>
        <v>0.203288396969108</v>
      </c>
    </row>
    <row r="238" customFormat="false" ht="15" hidden="false" customHeight="true" outlineLevel="0" collapsed="false">
      <c r="A238" s="22" t="n">
        <v>237</v>
      </c>
      <c r="B238" s="22" t="n">
        <v>230</v>
      </c>
      <c r="C238" s="22" t="n">
        <v>66</v>
      </c>
      <c r="D238" s="22" t="s">
        <v>178</v>
      </c>
      <c r="E238" s="22" t="s">
        <v>179</v>
      </c>
      <c r="F238" s="23" t="n">
        <v>5</v>
      </c>
      <c r="G238" s="23" t="n">
        <v>4.276</v>
      </c>
      <c r="H238" s="20" t="n">
        <v>19.5</v>
      </c>
      <c r="I238" s="22" t="s">
        <v>180</v>
      </c>
      <c r="J238" s="20" t="n">
        <v>31.47</v>
      </c>
      <c r="K238" s="24" t="n">
        <f aca="false">K237+J238</f>
        <v>7281.58</v>
      </c>
      <c r="L238" s="24" t="n">
        <f aca="false">Well_Data!$B$10-K238</f>
        <v>5218.42</v>
      </c>
      <c r="M238" s="24" t="n">
        <f aca="false">Well_Data!$B$10-K238+J238</f>
        <v>5249.89</v>
      </c>
      <c r="N238" s="25" t="n">
        <f aca="false">G238^2/1029.4</f>
        <v>0.0177619739654167</v>
      </c>
      <c r="O238" s="26" t="n">
        <f aca="false">N238*J238</f>
        <v>0.558969320691665</v>
      </c>
      <c r="P238" s="25" t="n">
        <f aca="false">(F238^2-G238^2)/1029.4</f>
        <v>0.00652401787449</v>
      </c>
      <c r="Q238" s="26" t="n">
        <f aca="false">P238*J238</f>
        <v>0.2053108425102</v>
      </c>
    </row>
    <row r="239" customFormat="false" ht="15" hidden="false" customHeight="true" outlineLevel="0" collapsed="false">
      <c r="A239" s="22" t="n">
        <v>238</v>
      </c>
      <c r="B239" s="22" t="n">
        <v>231</v>
      </c>
      <c r="C239" s="22" t="n">
        <v>66</v>
      </c>
      <c r="D239" s="22" t="s">
        <v>178</v>
      </c>
      <c r="E239" s="22" t="s">
        <v>179</v>
      </c>
      <c r="F239" s="23" t="n">
        <v>5</v>
      </c>
      <c r="G239" s="23" t="n">
        <v>4.276</v>
      </c>
      <c r="H239" s="20" t="n">
        <v>19.5</v>
      </c>
      <c r="I239" s="22" t="s">
        <v>180</v>
      </c>
      <c r="J239" s="20" t="n">
        <v>30.77</v>
      </c>
      <c r="K239" s="24" t="n">
        <f aca="false">K238+J239</f>
        <v>7312.35</v>
      </c>
      <c r="L239" s="24" t="n">
        <f aca="false">Well_Data!$B$10-K239</f>
        <v>5187.65</v>
      </c>
      <c r="M239" s="24" t="n">
        <f aca="false">Well_Data!$B$10-K239+J239</f>
        <v>5218.42</v>
      </c>
      <c r="N239" s="25" t="n">
        <f aca="false">G239^2/1029.4</f>
        <v>0.0177619739654167</v>
      </c>
      <c r="O239" s="26" t="n">
        <f aca="false">N239*J239</f>
        <v>0.546535938915873</v>
      </c>
      <c r="P239" s="25" t="n">
        <f aca="false">(F239^2-G239^2)/1029.4</f>
        <v>0.00652401787449</v>
      </c>
      <c r="Q239" s="26" t="n">
        <f aca="false">P239*J239</f>
        <v>0.200744029998057</v>
      </c>
    </row>
    <row r="240" customFormat="false" ht="15" hidden="false" customHeight="true" outlineLevel="0" collapsed="false">
      <c r="A240" s="22" t="n">
        <v>239</v>
      </c>
      <c r="B240" s="22" t="n">
        <v>232</v>
      </c>
      <c r="C240" s="22" t="n">
        <v>67</v>
      </c>
      <c r="D240" s="22" t="s">
        <v>178</v>
      </c>
      <c r="E240" s="22" t="s">
        <v>179</v>
      </c>
      <c r="F240" s="23" t="n">
        <v>5</v>
      </c>
      <c r="G240" s="23" t="n">
        <v>4.276</v>
      </c>
      <c r="H240" s="20" t="n">
        <v>19.5</v>
      </c>
      <c r="I240" s="22" t="s">
        <v>180</v>
      </c>
      <c r="J240" s="20" t="n">
        <v>31.25</v>
      </c>
      <c r="K240" s="24" t="n">
        <f aca="false">K239+J240</f>
        <v>7343.6</v>
      </c>
      <c r="L240" s="24" t="n">
        <f aca="false">Well_Data!$B$10-K240</f>
        <v>5156.4</v>
      </c>
      <c r="M240" s="24" t="n">
        <f aca="false">Well_Data!$B$10-K240+J240</f>
        <v>5187.65</v>
      </c>
      <c r="N240" s="25" t="n">
        <f aca="false">G240^2/1029.4</f>
        <v>0.0177619739654167</v>
      </c>
      <c r="O240" s="26" t="n">
        <f aca="false">N240*J240</f>
        <v>0.555061686419273</v>
      </c>
      <c r="P240" s="25" t="n">
        <f aca="false">(F240^2-G240^2)/1029.4</f>
        <v>0.00652401787449</v>
      </c>
      <c r="Q240" s="26" t="n">
        <f aca="false">P240*J240</f>
        <v>0.203875558577812</v>
      </c>
    </row>
    <row r="241" customFormat="false" ht="15" hidden="false" customHeight="true" outlineLevel="0" collapsed="false">
      <c r="A241" s="22" t="n">
        <v>240</v>
      </c>
      <c r="B241" s="22" t="n">
        <v>233</v>
      </c>
      <c r="C241" s="22" t="n">
        <v>67</v>
      </c>
      <c r="D241" s="22" t="s">
        <v>178</v>
      </c>
      <c r="E241" s="22" t="s">
        <v>179</v>
      </c>
      <c r="F241" s="23" t="n">
        <v>5</v>
      </c>
      <c r="G241" s="23" t="n">
        <v>4.276</v>
      </c>
      <c r="H241" s="20" t="n">
        <v>19.5</v>
      </c>
      <c r="I241" s="22" t="s">
        <v>180</v>
      </c>
      <c r="J241" s="20" t="n">
        <v>31.49</v>
      </c>
      <c r="K241" s="24" t="n">
        <f aca="false">K240+J241</f>
        <v>7375.09</v>
      </c>
      <c r="L241" s="24" t="n">
        <f aca="false">Well_Data!$B$10-K241</f>
        <v>5124.91</v>
      </c>
      <c r="M241" s="24" t="n">
        <f aca="false">Well_Data!$B$10-K241+J241</f>
        <v>5156.4</v>
      </c>
      <c r="N241" s="25" t="n">
        <f aca="false">G241^2/1029.4</f>
        <v>0.0177619739654167</v>
      </c>
      <c r="O241" s="26" t="n">
        <f aca="false">N241*J241</f>
        <v>0.559324560170973</v>
      </c>
      <c r="P241" s="25" t="n">
        <f aca="false">(F241^2-G241^2)/1029.4</f>
        <v>0.00652401787449</v>
      </c>
      <c r="Q241" s="26" t="n">
        <f aca="false">P241*J241</f>
        <v>0.20544132286769</v>
      </c>
    </row>
    <row r="242" customFormat="false" ht="15" hidden="false" customHeight="true" outlineLevel="0" collapsed="false">
      <c r="A242" s="22" t="n">
        <v>241</v>
      </c>
      <c r="B242" s="22" t="n">
        <v>234</v>
      </c>
      <c r="C242" s="22" t="n">
        <v>67</v>
      </c>
      <c r="D242" s="22" t="s">
        <v>178</v>
      </c>
      <c r="E242" s="22" t="s">
        <v>179</v>
      </c>
      <c r="F242" s="23" t="n">
        <v>5</v>
      </c>
      <c r="G242" s="23" t="n">
        <v>4.276</v>
      </c>
      <c r="H242" s="20" t="n">
        <v>19.5</v>
      </c>
      <c r="I242" s="22" t="s">
        <v>180</v>
      </c>
      <c r="J242" s="20" t="n">
        <v>31.29</v>
      </c>
      <c r="K242" s="24" t="n">
        <f aca="false">K241+J242</f>
        <v>7406.38</v>
      </c>
      <c r="L242" s="24" t="n">
        <f aca="false">Well_Data!$B$10-K242</f>
        <v>5093.62</v>
      </c>
      <c r="M242" s="24" t="n">
        <f aca="false">Well_Data!$B$10-K242+J242</f>
        <v>5124.91</v>
      </c>
      <c r="N242" s="25" t="n">
        <f aca="false">G242^2/1029.4</f>
        <v>0.0177619739654167</v>
      </c>
      <c r="O242" s="26" t="n">
        <f aca="false">N242*J242</f>
        <v>0.55577216537789</v>
      </c>
      <c r="P242" s="25" t="n">
        <f aca="false">(F242^2-G242^2)/1029.4</f>
        <v>0.00652401787449</v>
      </c>
      <c r="Q242" s="26" t="n">
        <f aca="false">P242*J242</f>
        <v>0.204136519292792</v>
      </c>
    </row>
    <row r="243" customFormat="false" ht="15" hidden="false" customHeight="true" outlineLevel="0" collapsed="false">
      <c r="A243" s="22" t="n">
        <v>242</v>
      </c>
      <c r="B243" s="22" t="n">
        <v>235</v>
      </c>
      <c r="C243" s="22" t="n">
        <v>68</v>
      </c>
      <c r="D243" s="22" t="s">
        <v>178</v>
      </c>
      <c r="E243" s="22" t="s">
        <v>179</v>
      </c>
      <c r="F243" s="23" t="n">
        <v>5</v>
      </c>
      <c r="G243" s="23" t="n">
        <v>4.276</v>
      </c>
      <c r="H243" s="20" t="n">
        <v>19.5</v>
      </c>
      <c r="I243" s="22" t="s">
        <v>180</v>
      </c>
      <c r="J243" s="20" t="n">
        <v>31.35</v>
      </c>
      <c r="K243" s="24" t="n">
        <f aca="false">K242+J243</f>
        <v>7437.73</v>
      </c>
      <c r="L243" s="24" t="n">
        <f aca="false">Well_Data!$B$10-K243</f>
        <v>5062.27</v>
      </c>
      <c r="M243" s="24" t="n">
        <f aca="false">Well_Data!$B$10-K243+J243</f>
        <v>5093.62</v>
      </c>
      <c r="N243" s="25" t="n">
        <f aca="false">G243^2/1029.4</f>
        <v>0.0177619739654167</v>
      </c>
      <c r="O243" s="26" t="n">
        <f aca="false">N243*J243</f>
        <v>0.556837883815815</v>
      </c>
      <c r="P243" s="25" t="n">
        <f aca="false">(F243^2-G243^2)/1029.4</f>
        <v>0.00652401787449</v>
      </c>
      <c r="Q243" s="26" t="n">
        <f aca="false">P243*J243</f>
        <v>0.204527960365261</v>
      </c>
    </row>
    <row r="244" customFormat="false" ht="15" hidden="false" customHeight="true" outlineLevel="0" collapsed="false">
      <c r="A244" s="22" t="n">
        <v>243</v>
      </c>
      <c r="B244" s="22" t="n">
        <v>236</v>
      </c>
      <c r="C244" s="22" t="n">
        <v>68</v>
      </c>
      <c r="D244" s="22" t="s">
        <v>178</v>
      </c>
      <c r="E244" s="22" t="s">
        <v>179</v>
      </c>
      <c r="F244" s="23" t="n">
        <v>5</v>
      </c>
      <c r="G244" s="23" t="n">
        <v>4.276</v>
      </c>
      <c r="H244" s="20" t="n">
        <v>19.5</v>
      </c>
      <c r="I244" s="22" t="s">
        <v>180</v>
      </c>
      <c r="J244" s="20" t="n">
        <v>31.21</v>
      </c>
      <c r="K244" s="24" t="n">
        <f aca="false">K243+J244</f>
        <v>7468.94</v>
      </c>
      <c r="L244" s="24" t="n">
        <f aca="false">Well_Data!$B$10-K244</f>
        <v>5031.06</v>
      </c>
      <c r="M244" s="24" t="n">
        <f aca="false">Well_Data!$B$10-K244+J244</f>
        <v>5062.27</v>
      </c>
      <c r="N244" s="25" t="n">
        <f aca="false">G244^2/1029.4</f>
        <v>0.0177619739654167</v>
      </c>
      <c r="O244" s="26" t="n">
        <f aca="false">N244*J244</f>
        <v>0.554351207460657</v>
      </c>
      <c r="P244" s="25" t="n">
        <f aca="false">(F244^2-G244^2)/1029.4</f>
        <v>0.00652401787449</v>
      </c>
      <c r="Q244" s="26" t="n">
        <f aca="false">P244*J244</f>
        <v>0.203614597862833</v>
      </c>
    </row>
    <row r="245" customFormat="false" ht="15" hidden="false" customHeight="true" outlineLevel="0" collapsed="false">
      <c r="A245" s="22" t="n">
        <v>244</v>
      </c>
      <c r="B245" s="22" t="n">
        <v>237</v>
      </c>
      <c r="C245" s="22" t="n">
        <v>68</v>
      </c>
      <c r="D245" s="22" t="s">
        <v>178</v>
      </c>
      <c r="E245" s="22" t="s">
        <v>179</v>
      </c>
      <c r="F245" s="23" t="n">
        <v>5</v>
      </c>
      <c r="G245" s="23" t="n">
        <v>4.276</v>
      </c>
      <c r="H245" s="20" t="n">
        <v>19.5</v>
      </c>
      <c r="I245" s="22" t="s">
        <v>180</v>
      </c>
      <c r="J245" s="20" t="n">
        <v>31.14</v>
      </c>
      <c r="K245" s="24" t="n">
        <f aca="false">K244+J245</f>
        <v>7500.08</v>
      </c>
      <c r="L245" s="24" t="n">
        <f aca="false">Well_Data!$B$10-K245</f>
        <v>4999.92</v>
      </c>
      <c r="M245" s="24" t="n">
        <f aca="false">Well_Data!$B$10-K245+J245</f>
        <v>5031.06</v>
      </c>
      <c r="N245" s="25" t="n">
        <f aca="false">G245^2/1029.4</f>
        <v>0.0177619739654167</v>
      </c>
      <c r="O245" s="26" t="n">
        <f aca="false">N245*J245</f>
        <v>0.553107869283077</v>
      </c>
      <c r="P245" s="25" t="n">
        <f aca="false">(F245^2-G245^2)/1029.4</f>
        <v>0.00652401787449</v>
      </c>
      <c r="Q245" s="26" t="n">
        <f aca="false">P245*J245</f>
        <v>0.203157916611618</v>
      </c>
    </row>
    <row r="246" customFormat="false" ht="15" hidden="false" customHeight="true" outlineLevel="0" collapsed="false">
      <c r="A246" s="22" t="n">
        <v>245</v>
      </c>
      <c r="B246" s="22" t="n">
        <v>238</v>
      </c>
      <c r="C246" s="22" t="n">
        <v>69</v>
      </c>
      <c r="D246" s="22" t="s">
        <v>178</v>
      </c>
      <c r="E246" s="22" t="s">
        <v>179</v>
      </c>
      <c r="F246" s="23" t="n">
        <v>5</v>
      </c>
      <c r="G246" s="23" t="n">
        <v>4.276</v>
      </c>
      <c r="H246" s="20" t="n">
        <v>19.5</v>
      </c>
      <c r="I246" s="22" t="s">
        <v>180</v>
      </c>
      <c r="J246" s="20" t="n">
        <v>30.83</v>
      </c>
      <c r="K246" s="24" t="n">
        <f aca="false">K245+J246</f>
        <v>7530.91</v>
      </c>
      <c r="L246" s="24" t="n">
        <f aca="false">Well_Data!$B$10-K246</f>
        <v>4969.09</v>
      </c>
      <c r="M246" s="24" t="n">
        <f aca="false">Well_Data!$B$10-K246+J246</f>
        <v>4999.92</v>
      </c>
      <c r="N246" s="25" t="n">
        <f aca="false">G246^2/1029.4</f>
        <v>0.0177619739654167</v>
      </c>
      <c r="O246" s="26" t="n">
        <f aca="false">N246*J246</f>
        <v>0.547601657353798</v>
      </c>
      <c r="P246" s="25" t="n">
        <f aca="false">(F246^2-G246^2)/1029.4</f>
        <v>0.00652401787449</v>
      </c>
      <c r="Q246" s="26" t="n">
        <f aca="false">P246*J246</f>
        <v>0.201135471070527</v>
      </c>
    </row>
    <row r="247" customFormat="false" ht="15" hidden="false" customHeight="true" outlineLevel="0" collapsed="false">
      <c r="A247" s="22" t="n">
        <v>246</v>
      </c>
      <c r="B247" s="22" t="n">
        <v>239</v>
      </c>
      <c r="C247" s="22" t="n">
        <v>69</v>
      </c>
      <c r="D247" s="22" t="s">
        <v>178</v>
      </c>
      <c r="E247" s="22" t="s">
        <v>179</v>
      </c>
      <c r="F247" s="23" t="n">
        <v>5</v>
      </c>
      <c r="G247" s="23" t="n">
        <v>4.276</v>
      </c>
      <c r="H247" s="20" t="n">
        <v>19.5</v>
      </c>
      <c r="I247" s="22" t="s">
        <v>180</v>
      </c>
      <c r="J247" s="20" t="n">
        <v>30.82</v>
      </c>
      <c r="K247" s="24" t="n">
        <f aca="false">K246+J247</f>
        <v>7561.73</v>
      </c>
      <c r="L247" s="24" t="n">
        <f aca="false">Well_Data!$B$10-K247</f>
        <v>4938.27</v>
      </c>
      <c r="M247" s="24" t="n">
        <f aca="false">Well_Data!$B$10-K247+J247</f>
        <v>4969.09</v>
      </c>
      <c r="N247" s="25" t="n">
        <f aca="false">G247^2/1029.4</f>
        <v>0.0177619739654167</v>
      </c>
      <c r="O247" s="26" t="n">
        <f aca="false">N247*J247</f>
        <v>0.547424037614144</v>
      </c>
      <c r="P247" s="25" t="n">
        <f aca="false">(F247^2-G247^2)/1029.4</f>
        <v>0.00652401787449</v>
      </c>
      <c r="Q247" s="26" t="n">
        <f aca="false">P247*J247</f>
        <v>0.201070230891782</v>
      </c>
    </row>
    <row r="248" customFormat="false" ht="15" hidden="false" customHeight="true" outlineLevel="0" collapsed="false">
      <c r="A248" s="22" t="n">
        <v>247</v>
      </c>
      <c r="B248" s="22" t="n">
        <v>240</v>
      </c>
      <c r="C248" s="22" t="n">
        <v>69</v>
      </c>
      <c r="D248" s="22" t="s">
        <v>178</v>
      </c>
      <c r="E248" s="22" t="s">
        <v>179</v>
      </c>
      <c r="F248" s="23" t="n">
        <v>5</v>
      </c>
      <c r="G248" s="23" t="n">
        <v>4.276</v>
      </c>
      <c r="H248" s="20" t="n">
        <v>19.5</v>
      </c>
      <c r="I248" s="22" t="s">
        <v>180</v>
      </c>
      <c r="J248" s="20" t="n">
        <v>31.12</v>
      </c>
      <c r="K248" s="24" t="n">
        <f aca="false">K247+J248</f>
        <v>7592.85</v>
      </c>
      <c r="L248" s="24" t="n">
        <f aca="false">Well_Data!$B$10-K248</f>
        <v>4907.15</v>
      </c>
      <c r="M248" s="24" t="n">
        <f aca="false">Well_Data!$B$10-K248+J248</f>
        <v>4938.27</v>
      </c>
      <c r="N248" s="25" t="n">
        <f aca="false">G248^2/1029.4</f>
        <v>0.0177619739654167</v>
      </c>
      <c r="O248" s="26" t="n">
        <f aca="false">N248*J248</f>
        <v>0.552752629803769</v>
      </c>
      <c r="P248" s="25" t="n">
        <f aca="false">(F248^2-G248^2)/1029.4</f>
        <v>0.00652401787449</v>
      </c>
      <c r="Q248" s="26" t="n">
        <f aca="false">P248*J248</f>
        <v>0.203027436254129</v>
      </c>
    </row>
    <row r="249" customFormat="false" ht="15" hidden="false" customHeight="true" outlineLevel="0" collapsed="false">
      <c r="A249" s="22" t="n">
        <v>248</v>
      </c>
      <c r="B249" s="22" t="n">
        <v>241</v>
      </c>
      <c r="C249" s="22" t="n">
        <v>70</v>
      </c>
      <c r="D249" s="22" t="s">
        <v>178</v>
      </c>
      <c r="E249" s="22" t="s">
        <v>179</v>
      </c>
      <c r="F249" s="23" t="n">
        <v>5</v>
      </c>
      <c r="G249" s="23" t="n">
        <v>4.276</v>
      </c>
      <c r="H249" s="20" t="n">
        <v>19.5</v>
      </c>
      <c r="I249" s="22" t="s">
        <v>180</v>
      </c>
      <c r="J249" s="20" t="n">
        <v>30.9</v>
      </c>
      <c r="K249" s="24" t="n">
        <f aca="false">K248+J249</f>
        <v>7623.75</v>
      </c>
      <c r="L249" s="24" t="n">
        <f aca="false">Well_Data!$B$10-K249</f>
        <v>4876.25</v>
      </c>
      <c r="M249" s="24" t="n">
        <f aca="false">Well_Data!$B$10-K249+J249</f>
        <v>4907.15</v>
      </c>
      <c r="N249" s="25" t="n">
        <f aca="false">G249^2/1029.4</f>
        <v>0.0177619739654167</v>
      </c>
      <c r="O249" s="26" t="n">
        <f aca="false">N249*J249</f>
        <v>0.548844995531377</v>
      </c>
      <c r="P249" s="25" t="n">
        <f aca="false">(F249^2-G249^2)/1029.4</f>
        <v>0.00652401787449</v>
      </c>
      <c r="Q249" s="26" t="n">
        <f aca="false">P249*J249</f>
        <v>0.201592152321741</v>
      </c>
    </row>
    <row r="250" customFormat="false" ht="15" hidden="false" customHeight="true" outlineLevel="0" collapsed="false">
      <c r="A250" s="22" t="n">
        <v>249</v>
      </c>
      <c r="B250" s="22" t="n">
        <v>242</v>
      </c>
      <c r="C250" s="22" t="n">
        <v>70</v>
      </c>
      <c r="D250" s="22" t="s">
        <v>178</v>
      </c>
      <c r="E250" s="22" t="s">
        <v>179</v>
      </c>
      <c r="F250" s="23" t="n">
        <v>5</v>
      </c>
      <c r="G250" s="23" t="n">
        <v>4.276</v>
      </c>
      <c r="H250" s="20" t="n">
        <v>19.5</v>
      </c>
      <c r="I250" s="22" t="s">
        <v>180</v>
      </c>
      <c r="J250" s="20" t="n">
        <v>31.57</v>
      </c>
      <c r="K250" s="24" t="n">
        <f aca="false">K249+J250</f>
        <v>7655.32</v>
      </c>
      <c r="L250" s="24" t="n">
        <f aca="false">Well_Data!$B$10-K250</f>
        <v>4844.68</v>
      </c>
      <c r="M250" s="24" t="n">
        <f aca="false">Well_Data!$B$10-K250+J250</f>
        <v>4876.25</v>
      </c>
      <c r="N250" s="25" t="n">
        <f aca="false">G250^2/1029.4</f>
        <v>0.0177619739654167</v>
      </c>
      <c r="O250" s="26" t="n">
        <f aca="false">N250*J250</f>
        <v>0.560745518088207</v>
      </c>
      <c r="P250" s="25" t="n">
        <f aca="false">(F250^2-G250^2)/1029.4</f>
        <v>0.00652401787449</v>
      </c>
      <c r="Q250" s="26" t="n">
        <f aca="false">P250*J250</f>
        <v>0.205963244297649</v>
      </c>
    </row>
    <row r="251" customFormat="false" ht="15" hidden="false" customHeight="true" outlineLevel="0" collapsed="false">
      <c r="A251" s="22" t="n">
        <v>250</v>
      </c>
      <c r="B251" s="22" t="n">
        <v>243</v>
      </c>
      <c r="C251" s="22" t="n">
        <v>70</v>
      </c>
      <c r="D251" s="22" t="s">
        <v>178</v>
      </c>
      <c r="E251" s="22" t="s">
        <v>179</v>
      </c>
      <c r="F251" s="23" t="n">
        <v>5</v>
      </c>
      <c r="G251" s="23" t="n">
        <v>4.276</v>
      </c>
      <c r="H251" s="20" t="n">
        <v>19.5</v>
      </c>
      <c r="I251" s="22" t="s">
        <v>180</v>
      </c>
      <c r="J251" s="20" t="n">
        <v>31.26</v>
      </c>
      <c r="K251" s="24" t="n">
        <f aca="false">K250+J251</f>
        <v>7686.58</v>
      </c>
      <c r="L251" s="24" t="n">
        <f aca="false">Well_Data!$B$10-K251</f>
        <v>4813.42</v>
      </c>
      <c r="M251" s="24" t="n">
        <f aca="false">Well_Data!$B$10-K251+J251</f>
        <v>4844.68</v>
      </c>
      <c r="N251" s="25" t="n">
        <f aca="false">G251^2/1029.4</f>
        <v>0.0177619739654167</v>
      </c>
      <c r="O251" s="26" t="n">
        <f aca="false">N251*J251</f>
        <v>0.555239306158928</v>
      </c>
      <c r="P251" s="25" t="n">
        <f aca="false">(F251^2-G251^2)/1029.4</f>
        <v>0.00652401787449</v>
      </c>
      <c r="Q251" s="26" t="n">
        <f aca="false">P251*J251</f>
        <v>0.203940798756557</v>
      </c>
    </row>
    <row r="252" customFormat="false" ht="15" hidden="false" customHeight="true" outlineLevel="0" collapsed="false">
      <c r="A252" s="22" t="n">
        <v>251</v>
      </c>
      <c r="B252" s="22" t="n">
        <v>244</v>
      </c>
      <c r="C252" s="22" t="n">
        <v>71</v>
      </c>
      <c r="D252" s="22" t="s">
        <v>178</v>
      </c>
      <c r="E252" s="22" t="s">
        <v>179</v>
      </c>
      <c r="F252" s="23" t="n">
        <v>5</v>
      </c>
      <c r="G252" s="23" t="n">
        <v>4.276</v>
      </c>
      <c r="H252" s="20" t="n">
        <v>19.5</v>
      </c>
      <c r="I252" s="22" t="s">
        <v>180</v>
      </c>
      <c r="J252" s="20" t="n">
        <v>31.3</v>
      </c>
      <c r="K252" s="24" t="n">
        <f aca="false">K251+J252</f>
        <v>7717.88</v>
      </c>
      <c r="L252" s="24" t="n">
        <f aca="false">Well_Data!$B$10-K252</f>
        <v>4782.12</v>
      </c>
      <c r="M252" s="24" t="n">
        <f aca="false">Well_Data!$B$10-K252+J252</f>
        <v>4813.42</v>
      </c>
      <c r="N252" s="25" t="n">
        <f aca="false">G252^2/1029.4</f>
        <v>0.0177619739654167</v>
      </c>
      <c r="O252" s="26" t="n">
        <f aca="false">N252*J252</f>
        <v>0.555949785117544</v>
      </c>
      <c r="P252" s="25" t="n">
        <f aca="false">(F252^2-G252^2)/1029.4</f>
        <v>0.00652401787449</v>
      </c>
      <c r="Q252" s="26" t="n">
        <f aca="false">P252*J252</f>
        <v>0.204201759471537</v>
      </c>
    </row>
    <row r="253" customFormat="false" ht="15" hidden="false" customHeight="true" outlineLevel="0" collapsed="false">
      <c r="A253" s="22" t="n">
        <v>252</v>
      </c>
      <c r="B253" s="22" t="n">
        <v>245</v>
      </c>
      <c r="C253" s="22" t="n">
        <v>71</v>
      </c>
      <c r="D253" s="22" t="s">
        <v>178</v>
      </c>
      <c r="E253" s="22" t="s">
        <v>179</v>
      </c>
      <c r="F253" s="23" t="n">
        <v>5</v>
      </c>
      <c r="G253" s="23" t="n">
        <v>4.276</v>
      </c>
      <c r="H253" s="20" t="n">
        <v>19.5</v>
      </c>
      <c r="I253" s="22" t="s">
        <v>180</v>
      </c>
      <c r="J253" s="20" t="n">
        <v>31</v>
      </c>
      <c r="K253" s="24" t="n">
        <f aca="false">K252+J253</f>
        <v>7748.88</v>
      </c>
      <c r="L253" s="24" t="n">
        <f aca="false">Well_Data!$B$10-K253</f>
        <v>4751.12</v>
      </c>
      <c r="M253" s="24" t="n">
        <f aca="false">Well_Data!$B$10-K253+J253</f>
        <v>4782.12</v>
      </c>
      <c r="N253" s="25" t="n">
        <f aca="false">G253^2/1029.4</f>
        <v>0.0177619739654167</v>
      </c>
      <c r="O253" s="26" t="n">
        <f aca="false">N253*J253</f>
        <v>0.550621192927919</v>
      </c>
      <c r="P253" s="25" t="n">
        <f aca="false">(F253^2-G253^2)/1029.4</f>
        <v>0.00652401787449</v>
      </c>
      <c r="Q253" s="26" t="n">
        <f aca="false">P253*J253</f>
        <v>0.20224455410919</v>
      </c>
    </row>
    <row r="254" customFormat="false" ht="15" hidden="false" customHeight="true" outlineLevel="0" collapsed="false">
      <c r="A254" s="22" t="n">
        <v>253</v>
      </c>
      <c r="B254" s="22" t="n">
        <v>246</v>
      </c>
      <c r="C254" s="22" t="n">
        <v>71</v>
      </c>
      <c r="D254" s="22" t="s">
        <v>178</v>
      </c>
      <c r="E254" s="22" t="s">
        <v>179</v>
      </c>
      <c r="F254" s="23" t="n">
        <v>5</v>
      </c>
      <c r="G254" s="23" t="n">
        <v>4.276</v>
      </c>
      <c r="H254" s="20" t="n">
        <v>19.5</v>
      </c>
      <c r="I254" s="22" t="s">
        <v>180</v>
      </c>
      <c r="J254" s="20" t="n">
        <v>31.15</v>
      </c>
      <c r="K254" s="24" t="n">
        <f aca="false">K253+J254</f>
        <v>7780.03</v>
      </c>
      <c r="L254" s="24" t="n">
        <f aca="false">Well_Data!$B$10-K254</f>
        <v>4719.97</v>
      </c>
      <c r="M254" s="24" t="n">
        <f aca="false">Well_Data!$B$10-K254+J254</f>
        <v>4751.12</v>
      </c>
      <c r="N254" s="25" t="n">
        <f aca="false">G254^2/1029.4</f>
        <v>0.0177619739654167</v>
      </c>
      <c r="O254" s="26" t="n">
        <f aca="false">N254*J254</f>
        <v>0.553285489022732</v>
      </c>
      <c r="P254" s="25" t="n">
        <f aca="false">(F254^2-G254^2)/1029.4</f>
        <v>0.00652401787449</v>
      </c>
      <c r="Q254" s="26" t="n">
        <f aca="false">P254*J254</f>
        <v>0.203223156790363</v>
      </c>
    </row>
    <row r="255" customFormat="false" ht="15" hidden="false" customHeight="true" outlineLevel="0" collapsed="false">
      <c r="A255" s="22" t="n">
        <v>254</v>
      </c>
      <c r="B255" s="22" t="n">
        <v>247</v>
      </c>
      <c r="C255" s="22" t="n">
        <v>72</v>
      </c>
      <c r="D255" s="22" t="s">
        <v>178</v>
      </c>
      <c r="E255" s="22" t="s">
        <v>179</v>
      </c>
      <c r="F255" s="23" t="n">
        <v>5</v>
      </c>
      <c r="G255" s="23" t="n">
        <v>4.276</v>
      </c>
      <c r="H255" s="20" t="n">
        <v>19.5</v>
      </c>
      <c r="I255" s="22" t="s">
        <v>180</v>
      </c>
      <c r="J255" s="20" t="n">
        <v>31.03</v>
      </c>
      <c r="K255" s="24" t="n">
        <f aca="false">K254+J255</f>
        <v>7811.06</v>
      </c>
      <c r="L255" s="24" t="n">
        <f aca="false">Well_Data!$B$10-K255</f>
        <v>4688.94</v>
      </c>
      <c r="M255" s="24" t="n">
        <f aca="false">Well_Data!$B$10-K255+J255</f>
        <v>4719.97</v>
      </c>
      <c r="N255" s="25" t="n">
        <f aca="false">G255^2/1029.4</f>
        <v>0.0177619739654167</v>
      </c>
      <c r="O255" s="26" t="n">
        <f aca="false">N255*J255</f>
        <v>0.551154052146882</v>
      </c>
      <c r="P255" s="25" t="n">
        <f aca="false">(F255^2-G255^2)/1029.4</f>
        <v>0.00652401787449</v>
      </c>
      <c r="Q255" s="26" t="n">
        <f aca="false">P255*J255</f>
        <v>0.202440274645425</v>
      </c>
    </row>
    <row r="256" customFormat="false" ht="15" hidden="false" customHeight="true" outlineLevel="0" collapsed="false">
      <c r="A256" s="22" t="n">
        <v>255</v>
      </c>
      <c r="B256" s="22" t="n">
        <v>248</v>
      </c>
      <c r="C256" s="22" t="n">
        <v>72</v>
      </c>
      <c r="D256" s="22" t="s">
        <v>178</v>
      </c>
      <c r="E256" s="22" t="s">
        <v>179</v>
      </c>
      <c r="F256" s="23" t="n">
        <v>5</v>
      </c>
      <c r="G256" s="23" t="n">
        <v>4.276</v>
      </c>
      <c r="H256" s="20" t="n">
        <v>19.5</v>
      </c>
      <c r="I256" s="22" t="s">
        <v>180</v>
      </c>
      <c r="J256" s="20" t="n">
        <v>31.59</v>
      </c>
      <c r="K256" s="24" t="n">
        <f aca="false">K255+J256</f>
        <v>7842.65</v>
      </c>
      <c r="L256" s="24" t="n">
        <f aca="false">Well_Data!$B$10-K256</f>
        <v>4657.35</v>
      </c>
      <c r="M256" s="24" t="n">
        <f aca="false">Well_Data!$B$10-K256+J256</f>
        <v>4688.94</v>
      </c>
      <c r="N256" s="25" t="n">
        <f aca="false">G256^2/1029.4</f>
        <v>0.0177619739654167</v>
      </c>
      <c r="O256" s="26" t="n">
        <f aca="false">N256*J256</f>
        <v>0.561100757567515</v>
      </c>
      <c r="P256" s="25" t="n">
        <f aca="false">(F256^2-G256^2)/1029.4</f>
        <v>0.00652401787449</v>
      </c>
      <c r="Q256" s="26" t="n">
        <f aca="false">P256*J256</f>
        <v>0.206093724655139</v>
      </c>
    </row>
    <row r="257" customFormat="false" ht="15" hidden="false" customHeight="true" outlineLevel="0" collapsed="false">
      <c r="A257" s="22" t="n">
        <v>256</v>
      </c>
      <c r="B257" s="22" t="n">
        <v>249</v>
      </c>
      <c r="C257" s="22" t="n">
        <v>72</v>
      </c>
      <c r="D257" s="22" t="s">
        <v>178</v>
      </c>
      <c r="E257" s="22" t="s">
        <v>179</v>
      </c>
      <c r="F257" s="23" t="n">
        <v>5</v>
      </c>
      <c r="G257" s="23" t="n">
        <v>4.276</v>
      </c>
      <c r="H257" s="20" t="n">
        <v>19.5</v>
      </c>
      <c r="I257" s="22" t="s">
        <v>180</v>
      </c>
      <c r="J257" s="20" t="n">
        <v>30.93</v>
      </c>
      <c r="K257" s="24" t="n">
        <f aca="false">K256+J257</f>
        <v>7873.58</v>
      </c>
      <c r="L257" s="24" t="n">
        <f aca="false">Well_Data!$B$10-K257</f>
        <v>4626.42</v>
      </c>
      <c r="M257" s="24" t="n">
        <f aca="false">Well_Data!$B$10-K257+J257</f>
        <v>4657.35</v>
      </c>
      <c r="N257" s="25" t="n">
        <f aca="false">G257^2/1029.4</f>
        <v>0.0177619739654167</v>
      </c>
      <c r="O257" s="26" t="n">
        <f aca="false">N257*J257</f>
        <v>0.54937785475034</v>
      </c>
      <c r="P257" s="25" t="n">
        <f aca="false">(F257^2-G257^2)/1029.4</f>
        <v>0.00652401787449</v>
      </c>
      <c r="Q257" s="26" t="n">
        <f aca="false">P257*J257</f>
        <v>0.201787872857976</v>
      </c>
    </row>
    <row r="258" customFormat="false" ht="15" hidden="false" customHeight="true" outlineLevel="0" collapsed="false">
      <c r="A258" s="22" t="n">
        <v>257</v>
      </c>
      <c r="B258" s="22" t="n">
        <v>250</v>
      </c>
      <c r="C258" s="22" t="n">
        <v>73</v>
      </c>
      <c r="D258" s="22" t="s">
        <v>178</v>
      </c>
      <c r="E258" s="22" t="s">
        <v>179</v>
      </c>
      <c r="F258" s="23" t="n">
        <v>5</v>
      </c>
      <c r="G258" s="23" t="n">
        <v>4.276</v>
      </c>
      <c r="H258" s="20" t="n">
        <v>19.5</v>
      </c>
      <c r="I258" s="22" t="s">
        <v>180</v>
      </c>
      <c r="J258" s="20" t="n">
        <v>31.07</v>
      </c>
      <c r="K258" s="24" t="n">
        <f aca="false">K257+J258</f>
        <v>7904.65</v>
      </c>
      <c r="L258" s="24" t="n">
        <f aca="false">Well_Data!$B$10-K258</f>
        <v>4595.35</v>
      </c>
      <c r="M258" s="24" t="n">
        <f aca="false">Well_Data!$B$10-K258+J258</f>
        <v>4626.42</v>
      </c>
      <c r="N258" s="25" t="n">
        <f aca="false">G258^2/1029.4</f>
        <v>0.0177619739654167</v>
      </c>
      <c r="O258" s="26" t="n">
        <f aca="false">N258*J258</f>
        <v>0.551864531105498</v>
      </c>
      <c r="P258" s="25" t="n">
        <f aca="false">(F258^2-G258^2)/1029.4</f>
        <v>0.00652401787449</v>
      </c>
      <c r="Q258" s="26" t="n">
        <f aca="false">P258*J258</f>
        <v>0.202701235360404</v>
      </c>
    </row>
    <row r="259" customFormat="false" ht="15" hidden="false" customHeight="true" outlineLevel="0" collapsed="false">
      <c r="A259" s="22" t="n">
        <v>258</v>
      </c>
      <c r="B259" s="22" t="n">
        <v>251</v>
      </c>
      <c r="C259" s="22" t="n">
        <v>73</v>
      </c>
      <c r="D259" s="22" t="s">
        <v>178</v>
      </c>
      <c r="E259" s="22" t="s">
        <v>179</v>
      </c>
      <c r="F259" s="23" t="n">
        <v>5</v>
      </c>
      <c r="G259" s="23" t="n">
        <v>4.276</v>
      </c>
      <c r="H259" s="20" t="n">
        <v>19.5</v>
      </c>
      <c r="I259" s="22" t="s">
        <v>180</v>
      </c>
      <c r="J259" s="20" t="n">
        <v>31.43</v>
      </c>
      <c r="K259" s="24" t="n">
        <f aca="false">K258+J259</f>
        <v>7936.08</v>
      </c>
      <c r="L259" s="24" t="n">
        <f aca="false">Well_Data!$B$10-K259</f>
        <v>4563.92</v>
      </c>
      <c r="M259" s="24" t="n">
        <f aca="false">Well_Data!$B$10-K259+J259</f>
        <v>4595.35</v>
      </c>
      <c r="N259" s="25" t="n">
        <f aca="false">G259^2/1029.4</f>
        <v>0.0177619739654167</v>
      </c>
      <c r="O259" s="26" t="n">
        <f aca="false">N259*J259</f>
        <v>0.558258841733048</v>
      </c>
      <c r="P259" s="25" t="n">
        <f aca="false">(F259^2-G259^2)/1029.4</f>
        <v>0.00652401787449</v>
      </c>
      <c r="Q259" s="26" t="n">
        <f aca="false">P259*J259</f>
        <v>0.205049881795221</v>
      </c>
    </row>
    <row r="260" customFormat="false" ht="15" hidden="false" customHeight="true" outlineLevel="0" collapsed="false">
      <c r="A260" s="22" t="n">
        <v>259</v>
      </c>
      <c r="B260" s="22" t="n">
        <v>252</v>
      </c>
      <c r="C260" s="22" t="n">
        <v>73</v>
      </c>
      <c r="D260" s="22" t="s">
        <v>178</v>
      </c>
      <c r="E260" s="22" t="s">
        <v>179</v>
      </c>
      <c r="F260" s="23" t="n">
        <v>5</v>
      </c>
      <c r="G260" s="23" t="n">
        <v>4.276</v>
      </c>
      <c r="H260" s="20" t="n">
        <v>19.5</v>
      </c>
      <c r="I260" s="22" t="s">
        <v>180</v>
      </c>
      <c r="J260" s="20" t="n">
        <v>31.36</v>
      </c>
      <c r="K260" s="24" t="n">
        <f aca="false">K259+J260</f>
        <v>7967.44</v>
      </c>
      <c r="L260" s="24" t="n">
        <f aca="false">Well_Data!$B$10-K260</f>
        <v>4532.56</v>
      </c>
      <c r="M260" s="24" t="n">
        <f aca="false">Well_Data!$B$10-K260+J260</f>
        <v>4563.92</v>
      </c>
      <c r="N260" s="25" t="n">
        <f aca="false">G260^2/1029.4</f>
        <v>0.0177619739654167</v>
      </c>
      <c r="O260" s="26" t="n">
        <f aca="false">N260*J260</f>
        <v>0.557015503555469</v>
      </c>
      <c r="P260" s="25" t="n">
        <f aca="false">(F260^2-G260^2)/1029.4</f>
        <v>0.00652401787449</v>
      </c>
      <c r="Q260" s="26" t="n">
        <f aca="false">P260*J260</f>
        <v>0.204593200544006</v>
      </c>
    </row>
    <row r="261" customFormat="false" ht="15" hidden="false" customHeight="true" outlineLevel="0" collapsed="false">
      <c r="A261" s="22" t="n">
        <v>260</v>
      </c>
      <c r="B261" s="22" t="n">
        <v>253</v>
      </c>
      <c r="C261" s="22" t="n">
        <v>74</v>
      </c>
      <c r="D261" s="22" t="s">
        <v>178</v>
      </c>
      <c r="E261" s="22" t="s">
        <v>179</v>
      </c>
      <c r="F261" s="23" t="n">
        <v>5</v>
      </c>
      <c r="G261" s="23" t="n">
        <v>4.276</v>
      </c>
      <c r="H261" s="20" t="n">
        <v>19.5</v>
      </c>
      <c r="I261" s="22" t="s">
        <v>180</v>
      </c>
      <c r="J261" s="20" t="n">
        <v>31.13</v>
      </c>
      <c r="K261" s="24" t="n">
        <f aca="false">K260+J261</f>
        <v>7998.57</v>
      </c>
      <c r="L261" s="24" t="n">
        <f aca="false">Well_Data!$B$10-K261</f>
        <v>4501.43</v>
      </c>
      <c r="M261" s="24" t="n">
        <f aca="false">Well_Data!$B$10-K261+J261</f>
        <v>4532.56</v>
      </c>
      <c r="N261" s="25" t="n">
        <f aca="false">G261^2/1029.4</f>
        <v>0.0177619739654167</v>
      </c>
      <c r="O261" s="26" t="n">
        <f aca="false">N261*J261</f>
        <v>0.552930249543423</v>
      </c>
      <c r="P261" s="25" t="n">
        <f aca="false">(F261^2-G261^2)/1029.4</f>
        <v>0.00652401787449</v>
      </c>
      <c r="Q261" s="26" t="n">
        <f aca="false">P261*J261</f>
        <v>0.203092676432874</v>
      </c>
    </row>
    <row r="262" customFormat="false" ht="15" hidden="false" customHeight="true" outlineLevel="0" collapsed="false">
      <c r="A262" s="22" t="n">
        <v>261</v>
      </c>
      <c r="B262" s="22" t="n">
        <v>254</v>
      </c>
      <c r="C262" s="22" t="n">
        <v>74</v>
      </c>
      <c r="D262" s="22" t="s">
        <v>178</v>
      </c>
      <c r="E262" s="22" t="s">
        <v>179</v>
      </c>
      <c r="F262" s="23" t="n">
        <v>5</v>
      </c>
      <c r="G262" s="23" t="n">
        <v>4.276</v>
      </c>
      <c r="H262" s="20" t="n">
        <v>19.5</v>
      </c>
      <c r="I262" s="22" t="s">
        <v>180</v>
      </c>
      <c r="J262" s="20" t="n">
        <v>30.95</v>
      </c>
      <c r="K262" s="24" t="n">
        <f aca="false">K261+J262</f>
        <v>8029.52</v>
      </c>
      <c r="L262" s="24" t="n">
        <f aca="false">Well_Data!$B$10-K262</f>
        <v>4470.48</v>
      </c>
      <c r="M262" s="24" t="n">
        <f aca="false">Well_Data!$B$10-K262+J262</f>
        <v>4501.43</v>
      </c>
      <c r="N262" s="25" t="n">
        <f aca="false">G262^2/1029.4</f>
        <v>0.0177619739654167</v>
      </c>
      <c r="O262" s="26" t="n">
        <f aca="false">N262*J262</f>
        <v>0.549733094229648</v>
      </c>
      <c r="P262" s="25" t="n">
        <f aca="false">(F262^2-G262^2)/1029.4</f>
        <v>0.00652401787449</v>
      </c>
      <c r="Q262" s="26" t="n">
        <f aca="false">P262*J262</f>
        <v>0.201918353215465</v>
      </c>
    </row>
    <row r="263" customFormat="false" ht="15" hidden="false" customHeight="true" outlineLevel="0" collapsed="false">
      <c r="A263" s="22" t="n">
        <v>262</v>
      </c>
      <c r="B263" s="22" t="n">
        <v>255</v>
      </c>
      <c r="C263" s="22" t="n">
        <v>74</v>
      </c>
      <c r="D263" s="22" t="s">
        <v>178</v>
      </c>
      <c r="E263" s="22" t="s">
        <v>179</v>
      </c>
      <c r="F263" s="23" t="n">
        <v>5</v>
      </c>
      <c r="G263" s="23" t="n">
        <v>4.276</v>
      </c>
      <c r="H263" s="20" t="n">
        <v>19.5</v>
      </c>
      <c r="I263" s="22" t="s">
        <v>180</v>
      </c>
      <c r="J263" s="20" t="n">
        <v>30.98</v>
      </c>
      <c r="K263" s="24" t="n">
        <f aca="false">K262+J263</f>
        <v>8060.5</v>
      </c>
      <c r="L263" s="24" t="n">
        <f aca="false">Well_Data!$B$10-K263</f>
        <v>4439.5</v>
      </c>
      <c r="M263" s="24" t="n">
        <f aca="false">Well_Data!$B$10-K263+J263</f>
        <v>4470.48</v>
      </c>
      <c r="N263" s="25" t="n">
        <f aca="false">G263^2/1029.4</f>
        <v>0.0177619739654167</v>
      </c>
      <c r="O263" s="26" t="n">
        <f aca="false">N263*J263</f>
        <v>0.550265953448611</v>
      </c>
      <c r="P263" s="25" t="n">
        <f aca="false">(F263^2-G263^2)/1029.4</f>
        <v>0.00652401787449</v>
      </c>
      <c r="Q263" s="26" t="n">
        <f aca="false">P263*J263</f>
        <v>0.2021140737517</v>
      </c>
    </row>
    <row r="264" customFormat="false" ht="15" hidden="false" customHeight="true" outlineLevel="0" collapsed="false">
      <c r="A264" s="22" t="n">
        <v>263</v>
      </c>
      <c r="B264" s="22" t="n">
        <v>256</v>
      </c>
      <c r="C264" s="22" t="n">
        <v>75</v>
      </c>
      <c r="D264" s="22" t="s">
        <v>178</v>
      </c>
      <c r="E264" s="22" t="s">
        <v>179</v>
      </c>
      <c r="F264" s="23" t="n">
        <v>5</v>
      </c>
      <c r="G264" s="23" t="n">
        <v>4.276</v>
      </c>
      <c r="H264" s="20" t="n">
        <v>19.5</v>
      </c>
      <c r="I264" s="22" t="s">
        <v>180</v>
      </c>
      <c r="J264" s="20" t="n">
        <v>31.45</v>
      </c>
      <c r="K264" s="24" t="n">
        <f aca="false">K263+J264</f>
        <v>8091.95</v>
      </c>
      <c r="L264" s="24" t="n">
        <f aca="false">Well_Data!$B$10-K264</f>
        <v>4408.05</v>
      </c>
      <c r="M264" s="24" t="n">
        <f aca="false">Well_Data!$B$10-K264+J264</f>
        <v>4439.5</v>
      </c>
      <c r="N264" s="25" t="n">
        <f aca="false">G264^2/1029.4</f>
        <v>0.0177619739654167</v>
      </c>
      <c r="O264" s="26" t="n">
        <f aca="false">N264*J264</f>
        <v>0.558614081212357</v>
      </c>
      <c r="P264" s="25" t="n">
        <f aca="false">(F264^2-G264^2)/1029.4</f>
        <v>0.00652401787449</v>
      </c>
      <c r="Q264" s="26" t="n">
        <f aca="false">P264*J264</f>
        <v>0.20518036215271</v>
      </c>
    </row>
    <row r="265" customFormat="false" ht="15" hidden="false" customHeight="true" outlineLevel="0" collapsed="false">
      <c r="A265" s="22" t="n">
        <v>264</v>
      </c>
      <c r="B265" s="22" t="n">
        <v>257</v>
      </c>
      <c r="C265" s="22" t="n">
        <v>75</v>
      </c>
      <c r="D265" s="22" t="s">
        <v>178</v>
      </c>
      <c r="E265" s="22" t="s">
        <v>179</v>
      </c>
      <c r="F265" s="23" t="n">
        <v>5</v>
      </c>
      <c r="G265" s="23" t="n">
        <v>4.276</v>
      </c>
      <c r="H265" s="20" t="n">
        <v>19.5</v>
      </c>
      <c r="I265" s="22" t="s">
        <v>180</v>
      </c>
      <c r="J265" s="20" t="n">
        <v>31.49</v>
      </c>
      <c r="K265" s="24" t="n">
        <f aca="false">K264+J265</f>
        <v>8123.44</v>
      </c>
      <c r="L265" s="24" t="n">
        <f aca="false">Well_Data!$B$10-K265</f>
        <v>4376.56</v>
      </c>
      <c r="M265" s="24" t="n">
        <f aca="false">Well_Data!$B$10-K265+J265</f>
        <v>4408.05</v>
      </c>
      <c r="N265" s="25" t="n">
        <f aca="false">G265^2/1029.4</f>
        <v>0.0177619739654167</v>
      </c>
      <c r="O265" s="26" t="n">
        <f aca="false">N265*J265</f>
        <v>0.559324560170973</v>
      </c>
      <c r="P265" s="25" t="n">
        <f aca="false">(F265^2-G265^2)/1029.4</f>
        <v>0.00652401787449</v>
      </c>
      <c r="Q265" s="26" t="n">
        <f aca="false">P265*J265</f>
        <v>0.20544132286769</v>
      </c>
    </row>
    <row r="266" customFormat="false" ht="15" hidden="false" customHeight="true" outlineLevel="0" collapsed="false">
      <c r="A266" s="22" t="n">
        <v>265</v>
      </c>
      <c r="B266" s="22" t="n">
        <v>258</v>
      </c>
      <c r="C266" s="22" t="n">
        <v>75</v>
      </c>
      <c r="D266" s="22" t="s">
        <v>178</v>
      </c>
      <c r="E266" s="22" t="s">
        <v>179</v>
      </c>
      <c r="F266" s="23" t="n">
        <v>5</v>
      </c>
      <c r="G266" s="23" t="n">
        <v>4.276</v>
      </c>
      <c r="H266" s="20" t="n">
        <v>19.5</v>
      </c>
      <c r="I266" s="22" t="s">
        <v>180</v>
      </c>
      <c r="J266" s="20" t="n">
        <v>30.84</v>
      </c>
      <c r="K266" s="24" t="n">
        <f aca="false">K265+J266</f>
        <v>8154.28</v>
      </c>
      <c r="L266" s="24" t="n">
        <f aca="false">Well_Data!$B$10-K266</f>
        <v>4345.72</v>
      </c>
      <c r="M266" s="24" t="n">
        <f aca="false">Well_Data!$B$10-K266+J266</f>
        <v>4376.56</v>
      </c>
      <c r="N266" s="25" t="n">
        <f aca="false">G266^2/1029.4</f>
        <v>0.0177619739654167</v>
      </c>
      <c r="O266" s="26" t="n">
        <f aca="false">N266*J266</f>
        <v>0.547779277093452</v>
      </c>
      <c r="P266" s="25" t="n">
        <f aca="false">(F266^2-G266^2)/1029.4</f>
        <v>0.00652401787449</v>
      </c>
      <c r="Q266" s="26" t="n">
        <f aca="false">P266*J266</f>
        <v>0.201200711249271</v>
      </c>
    </row>
    <row r="267" customFormat="false" ht="15" hidden="false" customHeight="true" outlineLevel="0" collapsed="false">
      <c r="A267" s="22" t="n">
        <v>266</v>
      </c>
      <c r="B267" s="22" t="n">
        <v>259</v>
      </c>
      <c r="C267" s="22" t="n">
        <v>76</v>
      </c>
      <c r="D267" s="22" t="s">
        <v>178</v>
      </c>
      <c r="E267" s="22" t="s">
        <v>179</v>
      </c>
      <c r="F267" s="23" t="n">
        <v>5</v>
      </c>
      <c r="G267" s="23" t="n">
        <v>4.276</v>
      </c>
      <c r="H267" s="20" t="n">
        <v>19.5</v>
      </c>
      <c r="I267" s="22" t="s">
        <v>180</v>
      </c>
      <c r="J267" s="20" t="n">
        <v>31.2</v>
      </c>
      <c r="K267" s="24" t="n">
        <f aca="false">K266+J267</f>
        <v>8185.48</v>
      </c>
      <c r="L267" s="24" t="n">
        <f aca="false">Well_Data!$B$10-K267</f>
        <v>4314.52</v>
      </c>
      <c r="M267" s="24" t="n">
        <f aca="false">Well_Data!$B$10-K267+J267</f>
        <v>4345.72</v>
      </c>
      <c r="N267" s="25" t="n">
        <f aca="false">G267^2/1029.4</f>
        <v>0.0177619739654167</v>
      </c>
      <c r="O267" s="26" t="n">
        <f aca="false">N267*J267</f>
        <v>0.554173587721002</v>
      </c>
      <c r="P267" s="25" t="n">
        <f aca="false">(F267^2-G267^2)/1029.4</f>
        <v>0.00652401787449</v>
      </c>
      <c r="Q267" s="26" t="n">
        <f aca="false">P267*J267</f>
        <v>0.203549357684088</v>
      </c>
    </row>
    <row r="268" customFormat="false" ht="15" hidden="false" customHeight="true" outlineLevel="0" collapsed="false">
      <c r="A268" s="22" t="n">
        <v>267</v>
      </c>
      <c r="B268" s="22" t="n">
        <v>260</v>
      </c>
      <c r="C268" s="22" t="n">
        <v>76</v>
      </c>
      <c r="D268" s="22" t="s">
        <v>178</v>
      </c>
      <c r="E268" s="22" t="s">
        <v>179</v>
      </c>
      <c r="F268" s="23" t="n">
        <v>5</v>
      </c>
      <c r="G268" s="23" t="n">
        <v>4.276</v>
      </c>
      <c r="H268" s="20" t="n">
        <v>19.5</v>
      </c>
      <c r="I268" s="22" t="s">
        <v>180</v>
      </c>
      <c r="J268" s="20" t="n">
        <v>31.69</v>
      </c>
      <c r="K268" s="24" t="n">
        <f aca="false">K267+J268</f>
        <v>8217.17</v>
      </c>
      <c r="L268" s="24" t="n">
        <f aca="false">Well_Data!$B$10-K268</f>
        <v>4282.83</v>
      </c>
      <c r="M268" s="24" t="n">
        <f aca="false">Well_Data!$B$10-K268+J268</f>
        <v>4314.52</v>
      </c>
      <c r="N268" s="25" t="n">
        <f aca="false">G268^2/1029.4</f>
        <v>0.0177619739654167</v>
      </c>
      <c r="O268" s="26" t="n">
        <f aca="false">N268*J268</f>
        <v>0.562876954964057</v>
      </c>
      <c r="P268" s="25" t="n">
        <f aca="false">(F268^2-G268^2)/1029.4</f>
        <v>0.00652401787449</v>
      </c>
      <c r="Q268" s="26" t="n">
        <f aca="false">P268*J268</f>
        <v>0.206746126442588</v>
      </c>
    </row>
    <row r="269" customFormat="false" ht="15" hidden="false" customHeight="true" outlineLevel="0" collapsed="false">
      <c r="A269" s="22" t="n">
        <v>268</v>
      </c>
      <c r="B269" s="22" t="n">
        <v>261</v>
      </c>
      <c r="C269" s="22" t="n">
        <v>76</v>
      </c>
      <c r="D269" s="22" t="s">
        <v>178</v>
      </c>
      <c r="E269" s="22" t="s">
        <v>179</v>
      </c>
      <c r="F269" s="23" t="n">
        <v>5</v>
      </c>
      <c r="G269" s="23" t="n">
        <v>4.276</v>
      </c>
      <c r="H269" s="20" t="n">
        <v>19.5</v>
      </c>
      <c r="I269" s="22" t="s">
        <v>180</v>
      </c>
      <c r="J269" s="20" t="n">
        <v>31.41</v>
      </c>
      <c r="K269" s="24" t="n">
        <f aca="false">K268+J269</f>
        <v>8248.58</v>
      </c>
      <c r="L269" s="24" t="n">
        <f aca="false">Well_Data!$B$10-K269</f>
        <v>4251.42</v>
      </c>
      <c r="M269" s="24" t="n">
        <f aca="false">Well_Data!$B$10-K269+J269</f>
        <v>4282.83</v>
      </c>
      <c r="N269" s="25" t="n">
        <f aca="false">G269^2/1029.4</f>
        <v>0.0177619739654167</v>
      </c>
      <c r="O269" s="26" t="n">
        <f aca="false">N269*J269</f>
        <v>0.55790360225374</v>
      </c>
      <c r="P269" s="25" t="n">
        <f aca="false">(F269^2-G269^2)/1029.4</f>
        <v>0.00652401787449</v>
      </c>
      <c r="Q269" s="26" t="n">
        <f aca="false">P269*J269</f>
        <v>0.204919401437731</v>
      </c>
    </row>
    <row r="270" customFormat="false" ht="15" hidden="false" customHeight="true" outlineLevel="0" collapsed="false">
      <c r="A270" s="22" t="n">
        <v>269</v>
      </c>
      <c r="B270" s="22" t="n">
        <v>262</v>
      </c>
      <c r="C270" s="22" t="n">
        <v>77</v>
      </c>
      <c r="D270" s="22" t="s">
        <v>178</v>
      </c>
      <c r="E270" s="22" t="s">
        <v>179</v>
      </c>
      <c r="F270" s="23" t="n">
        <v>5</v>
      </c>
      <c r="G270" s="23" t="n">
        <v>4.276</v>
      </c>
      <c r="H270" s="20" t="n">
        <v>19.5</v>
      </c>
      <c r="I270" s="22" t="s">
        <v>180</v>
      </c>
      <c r="J270" s="20" t="n">
        <v>31.42</v>
      </c>
      <c r="K270" s="24" t="n">
        <f aca="false">K269+J270</f>
        <v>8280</v>
      </c>
      <c r="L270" s="24" t="n">
        <f aca="false">Well_Data!$B$10-K270</f>
        <v>4220</v>
      </c>
      <c r="M270" s="24" t="n">
        <f aca="false">Well_Data!$B$10-K270+J270</f>
        <v>4251.42</v>
      </c>
      <c r="N270" s="25" t="n">
        <f aca="false">G270^2/1029.4</f>
        <v>0.0177619739654167</v>
      </c>
      <c r="O270" s="26" t="n">
        <f aca="false">N270*J270</f>
        <v>0.558081221993394</v>
      </c>
      <c r="P270" s="25" t="n">
        <f aca="false">(F270^2-G270^2)/1029.4</f>
        <v>0.00652401787449</v>
      </c>
      <c r="Q270" s="26" t="n">
        <f aca="false">P270*J270</f>
        <v>0.204984641616476</v>
      </c>
    </row>
    <row r="271" customFormat="false" ht="15" hidden="false" customHeight="true" outlineLevel="0" collapsed="false">
      <c r="A271" s="22" t="n">
        <v>270</v>
      </c>
      <c r="B271" s="22" t="n">
        <v>263</v>
      </c>
      <c r="C271" s="22" t="n">
        <v>77</v>
      </c>
      <c r="D271" s="22" t="s">
        <v>178</v>
      </c>
      <c r="E271" s="22" t="s">
        <v>179</v>
      </c>
      <c r="F271" s="23" t="n">
        <v>5</v>
      </c>
      <c r="G271" s="23" t="n">
        <v>4.276</v>
      </c>
      <c r="H271" s="20" t="n">
        <v>19.5</v>
      </c>
      <c r="I271" s="22" t="s">
        <v>180</v>
      </c>
      <c r="J271" s="20" t="n">
        <v>31.08</v>
      </c>
      <c r="K271" s="24" t="n">
        <f aca="false">K270+J271</f>
        <v>8311.08</v>
      </c>
      <c r="L271" s="24" t="n">
        <f aca="false">Well_Data!$B$10-K271</f>
        <v>4188.92</v>
      </c>
      <c r="M271" s="24" t="n">
        <f aca="false">Well_Data!$B$10-K271+J271</f>
        <v>4220</v>
      </c>
      <c r="N271" s="25" t="n">
        <f aca="false">G271^2/1029.4</f>
        <v>0.0177619739654167</v>
      </c>
      <c r="O271" s="26" t="n">
        <f aca="false">N271*J271</f>
        <v>0.552042150845152</v>
      </c>
      <c r="P271" s="25" t="n">
        <f aca="false">(F271^2-G271^2)/1029.4</f>
        <v>0.00652401787449</v>
      </c>
      <c r="Q271" s="26" t="n">
        <f aca="false">P271*J271</f>
        <v>0.202766475539149</v>
      </c>
    </row>
    <row r="272" customFormat="false" ht="15" hidden="false" customHeight="true" outlineLevel="0" collapsed="false">
      <c r="A272" s="22" t="n">
        <v>271</v>
      </c>
      <c r="B272" s="22" t="n">
        <v>264</v>
      </c>
      <c r="C272" s="22" t="n">
        <v>77</v>
      </c>
      <c r="D272" s="22" t="s">
        <v>178</v>
      </c>
      <c r="E272" s="22" t="s">
        <v>179</v>
      </c>
      <c r="F272" s="23" t="n">
        <v>5</v>
      </c>
      <c r="G272" s="23" t="n">
        <v>4.276</v>
      </c>
      <c r="H272" s="20" t="n">
        <v>19.5</v>
      </c>
      <c r="I272" s="22" t="s">
        <v>180</v>
      </c>
      <c r="J272" s="20" t="n">
        <v>31.62</v>
      </c>
      <c r="K272" s="24" t="n">
        <f aca="false">K271+J272</f>
        <v>8342.7</v>
      </c>
      <c r="L272" s="24" t="n">
        <f aca="false">Well_Data!$B$10-K272</f>
        <v>4157.3</v>
      </c>
      <c r="M272" s="24" t="n">
        <f aca="false">Well_Data!$B$10-K272+J272</f>
        <v>4188.92</v>
      </c>
      <c r="N272" s="25" t="n">
        <f aca="false">G272^2/1029.4</f>
        <v>0.0177619739654167</v>
      </c>
      <c r="O272" s="26" t="n">
        <f aca="false">N272*J272</f>
        <v>0.561633616786478</v>
      </c>
      <c r="P272" s="25" t="n">
        <f aca="false">(F272^2-G272^2)/1029.4</f>
        <v>0.00652401787449</v>
      </c>
      <c r="Q272" s="26" t="n">
        <f aca="false">P272*J272</f>
        <v>0.206289445191374</v>
      </c>
    </row>
    <row r="273" customFormat="false" ht="15" hidden="false" customHeight="true" outlineLevel="0" collapsed="false">
      <c r="A273" s="22" t="n">
        <v>272</v>
      </c>
      <c r="B273" s="22" t="n">
        <v>265</v>
      </c>
      <c r="C273" s="22" t="n">
        <v>78</v>
      </c>
      <c r="D273" s="22" t="s">
        <v>178</v>
      </c>
      <c r="E273" s="22" t="s">
        <v>179</v>
      </c>
      <c r="F273" s="23" t="n">
        <v>5</v>
      </c>
      <c r="G273" s="23" t="n">
        <v>4.276</v>
      </c>
      <c r="H273" s="20" t="n">
        <v>19.5</v>
      </c>
      <c r="I273" s="22" t="s">
        <v>180</v>
      </c>
      <c r="J273" s="20" t="n">
        <v>31.57</v>
      </c>
      <c r="K273" s="24" t="n">
        <f aca="false">K272+J273</f>
        <v>8374.27</v>
      </c>
      <c r="L273" s="24" t="n">
        <f aca="false">Well_Data!$B$10-K273</f>
        <v>4125.73</v>
      </c>
      <c r="M273" s="24" t="n">
        <f aca="false">Well_Data!$B$10-K273+J273</f>
        <v>4157.3</v>
      </c>
      <c r="N273" s="25" t="n">
        <f aca="false">G273^2/1029.4</f>
        <v>0.0177619739654167</v>
      </c>
      <c r="O273" s="26" t="n">
        <f aca="false">N273*J273</f>
        <v>0.560745518088207</v>
      </c>
      <c r="P273" s="25" t="n">
        <f aca="false">(F273^2-G273^2)/1029.4</f>
        <v>0.00652401787449</v>
      </c>
      <c r="Q273" s="26" t="n">
        <f aca="false">P273*J273</f>
        <v>0.205963244297649</v>
      </c>
    </row>
    <row r="274" customFormat="false" ht="15" hidden="false" customHeight="true" outlineLevel="0" collapsed="false">
      <c r="A274" s="22" t="n">
        <v>273</v>
      </c>
      <c r="B274" s="22" t="n">
        <v>266</v>
      </c>
      <c r="C274" s="22" t="n">
        <v>78</v>
      </c>
      <c r="D274" s="22" t="s">
        <v>178</v>
      </c>
      <c r="E274" s="22" t="s">
        <v>179</v>
      </c>
      <c r="F274" s="23" t="n">
        <v>5</v>
      </c>
      <c r="G274" s="23" t="n">
        <v>4.276</v>
      </c>
      <c r="H274" s="20" t="n">
        <v>19.5</v>
      </c>
      <c r="I274" s="22" t="s">
        <v>180</v>
      </c>
      <c r="J274" s="20" t="n">
        <v>31.46</v>
      </c>
      <c r="K274" s="24" t="n">
        <f aca="false">K273+J274</f>
        <v>8405.73</v>
      </c>
      <c r="L274" s="24" t="n">
        <f aca="false">Well_Data!$B$10-K274</f>
        <v>4094.27</v>
      </c>
      <c r="M274" s="24" t="n">
        <f aca="false">Well_Data!$B$10-K274+J274</f>
        <v>4125.73</v>
      </c>
      <c r="N274" s="25" t="n">
        <f aca="false">G274^2/1029.4</f>
        <v>0.0177619739654167</v>
      </c>
      <c r="O274" s="26" t="n">
        <f aca="false">N274*J274</f>
        <v>0.558791700952011</v>
      </c>
      <c r="P274" s="25" t="n">
        <f aca="false">(F274^2-G274^2)/1029.4</f>
        <v>0.00652401787449</v>
      </c>
      <c r="Q274" s="26" t="n">
        <f aca="false">P274*J274</f>
        <v>0.205245602331455</v>
      </c>
    </row>
    <row r="275" customFormat="false" ht="15" hidden="false" customHeight="true" outlineLevel="0" collapsed="false">
      <c r="A275" s="22" t="n">
        <v>274</v>
      </c>
      <c r="B275" s="22" t="n">
        <v>267</v>
      </c>
      <c r="C275" s="22" t="n">
        <v>78</v>
      </c>
      <c r="D275" s="22" t="s">
        <v>178</v>
      </c>
      <c r="E275" s="22" t="s">
        <v>179</v>
      </c>
      <c r="F275" s="23" t="n">
        <v>5</v>
      </c>
      <c r="G275" s="23" t="n">
        <v>4.276</v>
      </c>
      <c r="H275" s="20" t="n">
        <v>19.5</v>
      </c>
      <c r="I275" s="22" t="s">
        <v>180</v>
      </c>
      <c r="J275" s="20" t="n">
        <v>31.63</v>
      </c>
      <c r="K275" s="24" t="n">
        <f aca="false">K274+J275</f>
        <v>8437.36</v>
      </c>
      <c r="L275" s="24" t="n">
        <f aca="false">Well_Data!$B$10-K275</f>
        <v>4062.64000000001</v>
      </c>
      <c r="M275" s="24" t="n">
        <f aca="false">Well_Data!$B$10-K275+J275</f>
        <v>4094.27000000001</v>
      </c>
      <c r="N275" s="25" t="n">
        <f aca="false">G275^2/1029.4</f>
        <v>0.0177619739654167</v>
      </c>
      <c r="O275" s="26" t="n">
        <f aca="false">N275*J275</f>
        <v>0.561811236526132</v>
      </c>
      <c r="P275" s="25" t="n">
        <f aca="false">(F275^2-G275^2)/1029.4</f>
        <v>0.00652401787449</v>
      </c>
      <c r="Q275" s="26" t="n">
        <f aca="false">P275*J275</f>
        <v>0.206354685370119</v>
      </c>
    </row>
    <row r="276" customFormat="false" ht="15" hidden="false" customHeight="true" outlineLevel="0" collapsed="false">
      <c r="A276" s="22" t="n">
        <v>275</v>
      </c>
      <c r="B276" s="22" t="n">
        <v>268</v>
      </c>
      <c r="C276" s="22" t="n">
        <v>79</v>
      </c>
      <c r="D276" s="22" t="s">
        <v>178</v>
      </c>
      <c r="E276" s="22" t="s">
        <v>179</v>
      </c>
      <c r="F276" s="23" t="n">
        <v>5</v>
      </c>
      <c r="G276" s="23" t="n">
        <v>4.276</v>
      </c>
      <c r="H276" s="20" t="n">
        <v>19.5</v>
      </c>
      <c r="I276" s="22" t="s">
        <v>180</v>
      </c>
      <c r="J276" s="20" t="n">
        <v>30.59</v>
      </c>
      <c r="K276" s="24" t="n">
        <f aca="false">K275+J276</f>
        <v>8467.95</v>
      </c>
      <c r="L276" s="24" t="n">
        <f aca="false">Well_Data!$B$10-K276</f>
        <v>4032.05</v>
      </c>
      <c r="M276" s="24" t="n">
        <f aca="false">Well_Data!$B$10-K276+J276</f>
        <v>4062.64000000001</v>
      </c>
      <c r="N276" s="25" t="n">
        <f aca="false">G276^2/1029.4</f>
        <v>0.0177619739654167</v>
      </c>
      <c r="O276" s="26" t="n">
        <f aca="false">N276*J276</f>
        <v>0.543338783602098</v>
      </c>
      <c r="P276" s="25" t="n">
        <f aca="false">(F276^2-G276^2)/1029.4</f>
        <v>0.00652401787449</v>
      </c>
      <c r="Q276" s="26" t="n">
        <f aca="false">P276*J276</f>
        <v>0.199569706780649</v>
      </c>
    </row>
    <row r="277" customFormat="false" ht="15" hidden="false" customHeight="true" outlineLevel="0" collapsed="false">
      <c r="A277" s="22" t="n">
        <v>276</v>
      </c>
      <c r="B277" s="22" t="n">
        <v>269</v>
      </c>
      <c r="C277" s="22" t="n">
        <v>79</v>
      </c>
      <c r="D277" s="22" t="s">
        <v>178</v>
      </c>
      <c r="E277" s="22" t="s">
        <v>179</v>
      </c>
      <c r="F277" s="23" t="n">
        <v>5</v>
      </c>
      <c r="G277" s="23" t="n">
        <v>4.276</v>
      </c>
      <c r="H277" s="20" t="n">
        <v>19.5</v>
      </c>
      <c r="I277" s="22" t="s">
        <v>180</v>
      </c>
      <c r="J277" s="20" t="n">
        <v>31.07</v>
      </c>
      <c r="K277" s="24" t="n">
        <f aca="false">K276+J277</f>
        <v>8499.02</v>
      </c>
      <c r="L277" s="24" t="n">
        <f aca="false">Well_Data!$B$10-K277</f>
        <v>4000.98000000001</v>
      </c>
      <c r="M277" s="24" t="n">
        <f aca="false">Well_Data!$B$10-K277+J277</f>
        <v>4032.05000000001</v>
      </c>
      <c r="N277" s="25" t="n">
        <f aca="false">G277^2/1029.4</f>
        <v>0.0177619739654167</v>
      </c>
      <c r="O277" s="26" t="n">
        <f aca="false">N277*J277</f>
        <v>0.551864531105498</v>
      </c>
      <c r="P277" s="25" t="n">
        <f aca="false">(F277^2-G277^2)/1029.4</f>
        <v>0.00652401787449</v>
      </c>
      <c r="Q277" s="26" t="n">
        <f aca="false">P277*J277</f>
        <v>0.202701235360404</v>
      </c>
    </row>
    <row r="278" customFormat="false" ht="15" hidden="false" customHeight="true" outlineLevel="0" collapsed="false">
      <c r="A278" s="22" t="n">
        <v>277</v>
      </c>
      <c r="B278" s="22" t="n">
        <v>270</v>
      </c>
      <c r="C278" s="22" t="n">
        <v>79</v>
      </c>
      <c r="D278" s="22" t="s">
        <v>178</v>
      </c>
      <c r="E278" s="22" t="s">
        <v>179</v>
      </c>
      <c r="F278" s="23" t="n">
        <v>5</v>
      </c>
      <c r="G278" s="23" t="n">
        <v>4.276</v>
      </c>
      <c r="H278" s="20" t="n">
        <v>19.5</v>
      </c>
      <c r="I278" s="22" t="s">
        <v>180</v>
      </c>
      <c r="J278" s="20" t="n">
        <v>31.02</v>
      </c>
      <c r="K278" s="24" t="n">
        <f aca="false">K277+J278</f>
        <v>8530.04</v>
      </c>
      <c r="L278" s="24" t="n">
        <f aca="false">Well_Data!$B$10-K278</f>
        <v>3969.96</v>
      </c>
      <c r="M278" s="24" t="n">
        <f aca="false">Well_Data!$B$10-K278+J278</f>
        <v>4000.98</v>
      </c>
      <c r="N278" s="25" t="n">
        <f aca="false">G278^2/1029.4</f>
        <v>0.0177619739654167</v>
      </c>
      <c r="O278" s="26" t="n">
        <f aca="false">N278*J278</f>
        <v>0.550976432407227</v>
      </c>
      <c r="P278" s="25" t="n">
        <f aca="false">(F278^2-G278^2)/1029.4</f>
        <v>0.00652401787449</v>
      </c>
      <c r="Q278" s="26" t="n">
        <f aca="false">P278*J278</f>
        <v>0.20237503446668</v>
      </c>
    </row>
    <row r="279" customFormat="false" ht="15" hidden="false" customHeight="true" outlineLevel="0" collapsed="false">
      <c r="A279" s="22" t="n">
        <v>278</v>
      </c>
      <c r="B279" s="22" t="n">
        <v>271</v>
      </c>
      <c r="C279" s="22" t="n">
        <v>80</v>
      </c>
      <c r="D279" s="22" t="s">
        <v>178</v>
      </c>
      <c r="E279" s="22" t="s">
        <v>179</v>
      </c>
      <c r="F279" s="23" t="n">
        <v>5</v>
      </c>
      <c r="G279" s="23" t="n">
        <v>4.276</v>
      </c>
      <c r="H279" s="20" t="n">
        <v>19.5</v>
      </c>
      <c r="I279" s="22" t="s">
        <v>180</v>
      </c>
      <c r="J279" s="20" t="n">
        <v>31.1</v>
      </c>
      <c r="K279" s="24" t="n">
        <f aca="false">K278+J279</f>
        <v>8561.14</v>
      </c>
      <c r="L279" s="24" t="n">
        <f aca="false">Well_Data!$B$10-K279</f>
        <v>3938.86</v>
      </c>
      <c r="M279" s="24" t="n">
        <f aca="false">Well_Data!$B$10-K279+J279</f>
        <v>3969.96</v>
      </c>
      <c r="N279" s="25" t="n">
        <f aca="false">G279^2/1029.4</f>
        <v>0.0177619739654167</v>
      </c>
      <c r="O279" s="26" t="n">
        <f aca="false">N279*J279</f>
        <v>0.552397390324461</v>
      </c>
      <c r="P279" s="25" t="n">
        <f aca="false">(F279^2-G279^2)/1029.4</f>
        <v>0.00652401787449</v>
      </c>
      <c r="Q279" s="26" t="n">
        <f aca="false">P279*J279</f>
        <v>0.202896955896639</v>
      </c>
    </row>
    <row r="280" customFormat="false" ht="15" hidden="false" customHeight="true" outlineLevel="0" collapsed="false">
      <c r="A280" s="22" t="n">
        <v>279</v>
      </c>
      <c r="B280" s="22" t="n">
        <v>272</v>
      </c>
      <c r="C280" s="22" t="n">
        <v>80</v>
      </c>
      <c r="D280" s="22" t="s">
        <v>178</v>
      </c>
      <c r="E280" s="22" t="s">
        <v>179</v>
      </c>
      <c r="F280" s="23" t="n">
        <v>5</v>
      </c>
      <c r="G280" s="23" t="n">
        <v>4.276</v>
      </c>
      <c r="H280" s="20" t="n">
        <v>19.5</v>
      </c>
      <c r="I280" s="22" t="s">
        <v>180</v>
      </c>
      <c r="J280" s="20" t="n">
        <v>31.4</v>
      </c>
      <c r="K280" s="24" t="n">
        <f aca="false">K279+J280</f>
        <v>8592.54</v>
      </c>
      <c r="L280" s="24" t="n">
        <f aca="false">Well_Data!$B$10-K280</f>
        <v>3907.46</v>
      </c>
      <c r="M280" s="24" t="n">
        <f aca="false">Well_Data!$B$10-K280+J280</f>
        <v>3938.86</v>
      </c>
      <c r="N280" s="25" t="n">
        <f aca="false">G280^2/1029.4</f>
        <v>0.0177619739654167</v>
      </c>
      <c r="O280" s="26" t="n">
        <f aca="false">N280*J280</f>
        <v>0.557725982514086</v>
      </c>
      <c r="P280" s="25" t="n">
        <f aca="false">(F280^2-G280^2)/1029.4</f>
        <v>0.00652401787449</v>
      </c>
      <c r="Q280" s="26" t="n">
        <f aca="false">P280*J280</f>
        <v>0.204854161258986</v>
      </c>
    </row>
    <row r="281" customFormat="false" ht="15" hidden="false" customHeight="true" outlineLevel="0" collapsed="false">
      <c r="A281" s="22" t="n">
        <v>280</v>
      </c>
      <c r="B281" s="22" t="n">
        <v>273</v>
      </c>
      <c r="C281" s="22" t="n">
        <v>80</v>
      </c>
      <c r="D281" s="22" t="s">
        <v>178</v>
      </c>
      <c r="E281" s="22" t="s">
        <v>179</v>
      </c>
      <c r="F281" s="23" t="n">
        <v>5</v>
      </c>
      <c r="G281" s="23" t="n">
        <v>4.276</v>
      </c>
      <c r="H281" s="20" t="n">
        <v>19.5</v>
      </c>
      <c r="I281" s="22" t="s">
        <v>180</v>
      </c>
      <c r="J281" s="20" t="n">
        <v>31.26</v>
      </c>
      <c r="K281" s="24" t="n">
        <f aca="false">K280+J281</f>
        <v>8623.8</v>
      </c>
      <c r="L281" s="24" t="n">
        <f aca="false">Well_Data!$B$10-K281</f>
        <v>3876.2</v>
      </c>
      <c r="M281" s="24" t="n">
        <f aca="false">Well_Data!$B$10-K281+J281</f>
        <v>3907.46</v>
      </c>
      <c r="N281" s="25" t="n">
        <f aca="false">G281^2/1029.4</f>
        <v>0.0177619739654167</v>
      </c>
      <c r="O281" s="26" t="n">
        <f aca="false">N281*J281</f>
        <v>0.555239306158928</v>
      </c>
      <c r="P281" s="25" t="n">
        <f aca="false">(F281^2-G281^2)/1029.4</f>
        <v>0.00652401787449</v>
      </c>
      <c r="Q281" s="26" t="n">
        <f aca="false">P281*J281</f>
        <v>0.203940798756557</v>
      </c>
    </row>
    <row r="282" customFormat="false" ht="15" hidden="false" customHeight="true" outlineLevel="0" collapsed="false">
      <c r="A282" s="22" t="n">
        <v>281</v>
      </c>
      <c r="B282" s="22" t="n">
        <v>274</v>
      </c>
      <c r="C282" s="22" t="n">
        <v>81</v>
      </c>
      <c r="D282" s="22" t="s">
        <v>178</v>
      </c>
      <c r="E282" s="22" t="s">
        <v>179</v>
      </c>
      <c r="F282" s="23" t="n">
        <v>5</v>
      </c>
      <c r="G282" s="23" t="n">
        <v>4.276</v>
      </c>
      <c r="H282" s="20" t="n">
        <v>19.5</v>
      </c>
      <c r="I282" s="22" t="s">
        <v>180</v>
      </c>
      <c r="J282" s="20" t="n">
        <v>30.41</v>
      </c>
      <c r="K282" s="24" t="n">
        <f aca="false">K281+J282</f>
        <v>8654.21</v>
      </c>
      <c r="L282" s="24" t="n">
        <f aca="false">Well_Data!$B$10-K282</f>
        <v>3845.79</v>
      </c>
      <c r="M282" s="24" t="n">
        <f aca="false">Well_Data!$B$10-K282+J282</f>
        <v>3876.2</v>
      </c>
      <c r="N282" s="25" t="n">
        <f aca="false">G282^2/1029.4</f>
        <v>0.0177619739654167</v>
      </c>
      <c r="O282" s="26" t="n">
        <f aca="false">N282*J282</f>
        <v>0.540141628288323</v>
      </c>
      <c r="P282" s="25" t="n">
        <f aca="false">(F282^2-G282^2)/1029.4</f>
        <v>0.00652401787449</v>
      </c>
      <c r="Q282" s="26" t="n">
        <f aca="false">P282*J282</f>
        <v>0.198395383563241</v>
      </c>
    </row>
    <row r="283" customFormat="false" ht="15" hidden="false" customHeight="true" outlineLevel="0" collapsed="false">
      <c r="A283" s="22" t="n">
        <v>282</v>
      </c>
      <c r="B283" s="22" t="n">
        <v>275</v>
      </c>
      <c r="C283" s="22" t="n">
        <v>81</v>
      </c>
      <c r="D283" s="22" t="s">
        <v>178</v>
      </c>
      <c r="E283" s="22" t="s">
        <v>179</v>
      </c>
      <c r="F283" s="23" t="n">
        <v>5</v>
      </c>
      <c r="G283" s="23" t="n">
        <v>4.276</v>
      </c>
      <c r="H283" s="20" t="n">
        <v>19.5</v>
      </c>
      <c r="I283" s="22" t="s">
        <v>180</v>
      </c>
      <c r="J283" s="20" t="n">
        <v>31.37</v>
      </c>
      <c r="K283" s="24" t="n">
        <f aca="false">K282+J283</f>
        <v>8685.58</v>
      </c>
      <c r="L283" s="24" t="n">
        <f aca="false">Well_Data!$B$10-K283</f>
        <v>3814.42</v>
      </c>
      <c r="M283" s="24" t="n">
        <f aca="false">Well_Data!$B$10-K283+J283</f>
        <v>3845.79</v>
      </c>
      <c r="N283" s="25" t="n">
        <f aca="false">G283^2/1029.4</f>
        <v>0.0177619739654167</v>
      </c>
      <c r="O283" s="26" t="n">
        <f aca="false">N283*J283</f>
        <v>0.557193123295123</v>
      </c>
      <c r="P283" s="25" t="n">
        <f aca="false">(F283^2-G283^2)/1029.4</f>
        <v>0.00652401787449</v>
      </c>
      <c r="Q283" s="26" t="n">
        <f aca="false">P283*J283</f>
        <v>0.204658440722751</v>
      </c>
    </row>
    <row r="284" customFormat="false" ht="15" hidden="false" customHeight="true" outlineLevel="0" collapsed="false">
      <c r="A284" s="22" t="n">
        <v>283</v>
      </c>
      <c r="B284" s="22" t="n">
        <v>276</v>
      </c>
      <c r="C284" s="22" t="n">
        <v>81</v>
      </c>
      <c r="D284" s="22" t="s">
        <v>178</v>
      </c>
      <c r="E284" s="22" t="s">
        <v>179</v>
      </c>
      <c r="F284" s="23" t="n">
        <v>5</v>
      </c>
      <c r="G284" s="23" t="n">
        <v>4.276</v>
      </c>
      <c r="H284" s="20" t="n">
        <v>19.5</v>
      </c>
      <c r="I284" s="22" t="s">
        <v>180</v>
      </c>
      <c r="J284" s="20" t="n">
        <v>31.05</v>
      </c>
      <c r="K284" s="24" t="n">
        <f aca="false">K283+J284</f>
        <v>8716.63</v>
      </c>
      <c r="L284" s="24" t="n">
        <f aca="false">Well_Data!$B$10-K284</f>
        <v>3783.37</v>
      </c>
      <c r="M284" s="24" t="n">
        <f aca="false">Well_Data!$B$10-K284+J284</f>
        <v>3814.42</v>
      </c>
      <c r="N284" s="25" t="n">
        <f aca="false">G284^2/1029.4</f>
        <v>0.0177619739654167</v>
      </c>
      <c r="O284" s="26" t="n">
        <f aca="false">N284*J284</f>
        <v>0.55150929162619</v>
      </c>
      <c r="P284" s="25" t="n">
        <f aca="false">(F284^2-G284^2)/1029.4</f>
        <v>0.00652401787449</v>
      </c>
      <c r="Q284" s="26" t="n">
        <f aca="false">P284*J284</f>
        <v>0.202570755002914</v>
      </c>
    </row>
    <row r="285" customFormat="false" ht="15" hidden="false" customHeight="true" outlineLevel="0" collapsed="false">
      <c r="A285" s="22" t="n">
        <v>284</v>
      </c>
      <c r="B285" s="22" t="n">
        <v>277</v>
      </c>
      <c r="C285" s="22" t="n">
        <v>82</v>
      </c>
      <c r="D285" s="22" t="s">
        <v>178</v>
      </c>
      <c r="E285" s="22" t="s">
        <v>179</v>
      </c>
      <c r="F285" s="23" t="n">
        <v>5</v>
      </c>
      <c r="G285" s="23" t="n">
        <v>4.276</v>
      </c>
      <c r="H285" s="20" t="n">
        <v>19.5</v>
      </c>
      <c r="I285" s="22" t="s">
        <v>180</v>
      </c>
      <c r="J285" s="20" t="n">
        <v>31.47</v>
      </c>
      <c r="K285" s="24" t="n">
        <f aca="false">K284+J285</f>
        <v>8748.1</v>
      </c>
      <c r="L285" s="24" t="n">
        <f aca="false">Well_Data!$B$10-K285</f>
        <v>3751.90000000001</v>
      </c>
      <c r="M285" s="24" t="n">
        <f aca="false">Well_Data!$B$10-K285+J285</f>
        <v>3783.37000000001</v>
      </c>
      <c r="N285" s="25" t="n">
        <f aca="false">G285^2/1029.4</f>
        <v>0.0177619739654167</v>
      </c>
      <c r="O285" s="26" t="n">
        <f aca="false">N285*J285</f>
        <v>0.558969320691665</v>
      </c>
      <c r="P285" s="25" t="n">
        <f aca="false">(F285^2-G285^2)/1029.4</f>
        <v>0.00652401787449</v>
      </c>
      <c r="Q285" s="26" t="n">
        <f aca="false">P285*J285</f>
        <v>0.2053108425102</v>
      </c>
    </row>
    <row r="286" customFormat="false" ht="15" hidden="false" customHeight="true" outlineLevel="0" collapsed="false">
      <c r="A286" s="22" t="n">
        <v>285</v>
      </c>
      <c r="B286" s="22" t="n">
        <v>278</v>
      </c>
      <c r="C286" s="22" t="n">
        <v>82</v>
      </c>
      <c r="D286" s="22" t="s">
        <v>178</v>
      </c>
      <c r="E286" s="22" t="s">
        <v>179</v>
      </c>
      <c r="F286" s="23" t="n">
        <v>5</v>
      </c>
      <c r="G286" s="23" t="n">
        <v>4.276</v>
      </c>
      <c r="H286" s="20" t="n">
        <v>19.5</v>
      </c>
      <c r="I286" s="22" t="s">
        <v>180</v>
      </c>
      <c r="J286" s="20" t="n">
        <v>31.38</v>
      </c>
      <c r="K286" s="24" t="n">
        <f aca="false">K285+J286</f>
        <v>8779.47999999999</v>
      </c>
      <c r="L286" s="24" t="n">
        <f aca="false">Well_Data!$B$10-K286</f>
        <v>3720.52000000001</v>
      </c>
      <c r="M286" s="24" t="n">
        <f aca="false">Well_Data!$B$10-K286+J286</f>
        <v>3751.90000000001</v>
      </c>
      <c r="N286" s="25" t="n">
        <f aca="false">G286^2/1029.4</f>
        <v>0.0177619739654167</v>
      </c>
      <c r="O286" s="26" t="n">
        <f aca="false">N286*J286</f>
        <v>0.557370743034777</v>
      </c>
      <c r="P286" s="25" t="n">
        <f aca="false">(F286^2-G286^2)/1029.4</f>
        <v>0.00652401787449</v>
      </c>
      <c r="Q286" s="26" t="n">
        <f aca="false">P286*J286</f>
        <v>0.204723680901496</v>
      </c>
    </row>
    <row r="287" customFormat="false" ht="15" hidden="false" customHeight="true" outlineLevel="0" collapsed="false">
      <c r="A287" s="22" t="n">
        <v>286</v>
      </c>
      <c r="B287" s="22" t="n">
        <v>279</v>
      </c>
      <c r="C287" s="22" t="n">
        <v>82</v>
      </c>
      <c r="D287" s="22" t="s">
        <v>178</v>
      </c>
      <c r="E287" s="22" t="s">
        <v>179</v>
      </c>
      <c r="F287" s="23" t="n">
        <v>5</v>
      </c>
      <c r="G287" s="23" t="n">
        <v>4.276</v>
      </c>
      <c r="H287" s="20" t="n">
        <v>19.5</v>
      </c>
      <c r="I287" s="22" t="s">
        <v>180</v>
      </c>
      <c r="J287" s="20" t="n">
        <v>31.82</v>
      </c>
      <c r="K287" s="24" t="n">
        <f aca="false">K286+J287</f>
        <v>8811.29999999999</v>
      </c>
      <c r="L287" s="24" t="n">
        <f aca="false">Well_Data!$B$10-K287</f>
        <v>3688.70000000001</v>
      </c>
      <c r="M287" s="24" t="n">
        <f aca="false">Well_Data!$B$10-K287+J287</f>
        <v>3720.52000000001</v>
      </c>
      <c r="N287" s="25" t="n">
        <f aca="false">G287^2/1029.4</f>
        <v>0.0177619739654167</v>
      </c>
      <c r="O287" s="26" t="n">
        <f aca="false">N287*J287</f>
        <v>0.565186011579561</v>
      </c>
      <c r="P287" s="25" t="n">
        <f aca="false">(F287^2-G287^2)/1029.4</f>
        <v>0.00652401787449</v>
      </c>
      <c r="Q287" s="26" t="n">
        <f aca="false">P287*J287</f>
        <v>0.207594248766272</v>
      </c>
    </row>
    <row r="288" customFormat="false" ht="15" hidden="false" customHeight="true" outlineLevel="0" collapsed="false">
      <c r="A288" s="22" t="n">
        <v>287</v>
      </c>
      <c r="B288" s="22" t="n">
        <v>280</v>
      </c>
      <c r="C288" s="22" t="n">
        <v>83</v>
      </c>
      <c r="D288" s="22" t="s">
        <v>178</v>
      </c>
      <c r="E288" s="22" t="s">
        <v>179</v>
      </c>
      <c r="F288" s="23" t="n">
        <v>5</v>
      </c>
      <c r="G288" s="23" t="n">
        <v>4.276</v>
      </c>
      <c r="H288" s="20" t="n">
        <v>19.5</v>
      </c>
      <c r="I288" s="22" t="s">
        <v>180</v>
      </c>
      <c r="J288" s="20" t="n">
        <v>31.35</v>
      </c>
      <c r="K288" s="24" t="n">
        <f aca="false">K287+J288</f>
        <v>8842.64999999999</v>
      </c>
      <c r="L288" s="24" t="n">
        <f aca="false">Well_Data!$B$10-K288</f>
        <v>3657.35000000001</v>
      </c>
      <c r="M288" s="24" t="n">
        <f aca="false">Well_Data!$B$10-K288+J288</f>
        <v>3688.70000000001</v>
      </c>
      <c r="N288" s="25" t="n">
        <f aca="false">G288^2/1029.4</f>
        <v>0.0177619739654167</v>
      </c>
      <c r="O288" s="26" t="n">
        <f aca="false">N288*J288</f>
        <v>0.556837883815815</v>
      </c>
      <c r="P288" s="25" t="n">
        <f aca="false">(F288^2-G288^2)/1029.4</f>
        <v>0.00652401787449</v>
      </c>
      <c r="Q288" s="26" t="n">
        <f aca="false">P288*J288</f>
        <v>0.204527960365261</v>
      </c>
    </row>
    <row r="289" customFormat="false" ht="15" hidden="false" customHeight="true" outlineLevel="0" collapsed="false">
      <c r="A289" s="22" t="n">
        <v>288</v>
      </c>
      <c r="B289" s="22" t="n">
        <v>281</v>
      </c>
      <c r="C289" s="22" t="n">
        <v>83</v>
      </c>
      <c r="D289" s="22" t="s">
        <v>178</v>
      </c>
      <c r="E289" s="22" t="s">
        <v>179</v>
      </c>
      <c r="F289" s="23" t="n">
        <v>5</v>
      </c>
      <c r="G289" s="23" t="n">
        <v>4.276</v>
      </c>
      <c r="H289" s="20" t="n">
        <v>19.5</v>
      </c>
      <c r="I289" s="22" t="s">
        <v>180</v>
      </c>
      <c r="J289" s="20" t="n">
        <v>31.26</v>
      </c>
      <c r="K289" s="24" t="n">
        <f aca="false">K288+J289</f>
        <v>8873.90999999999</v>
      </c>
      <c r="L289" s="24" t="n">
        <f aca="false">Well_Data!$B$10-K289</f>
        <v>3626.09000000001</v>
      </c>
      <c r="M289" s="24" t="n">
        <f aca="false">Well_Data!$B$10-K289+J289</f>
        <v>3657.35000000001</v>
      </c>
      <c r="N289" s="25" t="n">
        <f aca="false">G289^2/1029.4</f>
        <v>0.0177619739654167</v>
      </c>
      <c r="O289" s="26" t="n">
        <f aca="false">N289*J289</f>
        <v>0.555239306158928</v>
      </c>
      <c r="P289" s="25" t="n">
        <f aca="false">(F289^2-G289^2)/1029.4</f>
        <v>0.00652401787449</v>
      </c>
      <c r="Q289" s="26" t="n">
        <f aca="false">P289*J289</f>
        <v>0.203940798756557</v>
      </c>
    </row>
    <row r="290" customFormat="false" ht="15" hidden="false" customHeight="true" outlineLevel="0" collapsed="false">
      <c r="A290" s="22" t="n">
        <v>289</v>
      </c>
      <c r="B290" s="22" t="n">
        <v>282</v>
      </c>
      <c r="C290" s="22" t="n">
        <v>83</v>
      </c>
      <c r="D290" s="22" t="s">
        <v>178</v>
      </c>
      <c r="E290" s="22" t="s">
        <v>179</v>
      </c>
      <c r="F290" s="23" t="n">
        <v>5</v>
      </c>
      <c r="G290" s="23" t="n">
        <v>4.276</v>
      </c>
      <c r="H290" s="20" t="n">
        <v>19.5</v>
      </c>
      <c r="I290" s="22" t="s">
        <v>180</v>
      </c>
      <c r="J290" s="20" t="n">
        <v>31.19</v>
      </c>
      <c r="K290" s="24" t="n">
        <f aca="false">K289+J290</f>
        <v>8905.1</v>
      </c>
      <c r="L290" s="24" t="n">
        <f aca="false">Well_Data!$B$10-K290</f>
        <v>3594.90000000001</v>
      </c>
      <c r="M290" s="24" t="n">
        <f aca="false">Well_Data!$B$10-K290+J290</f>
        <v>3626.09000000001</v>
      </c>
      <c r="N290" s="25" t="n">
        <f aca="false">G290^2/1029.4</f>
        <v>0.0177619739654167</v>
      </c>
      <c r="O290" s="26" t="n">
        <f aca="false">N290*J290</f>
        <v>0.553995967981348</v>
      </c>
      <c r="P290" s="25" t="n">
        <f aca="false">(F290^2-G290^2)/1029.4</f>
        <v>0.00652401787449</v>
      </c>
      <c r="Q290" s="26" t="n">
        <f aca="false">P290*J290</f>
        <v>0.203484117505343</v>
      </c>
    </row>
    <row r="291" customFormat="false" ht="15" hidden="false" customHeight="true" outlineLevel="0" collapsed="false">
      <c r="A291" s="22" t="n">
        <v>290</v>
      </c>
      <c r="B291" s="22" t="n">
        <v>283</v>
      </c>
      <c r="C291" s="22" t="n">
        <v>84</v>
      </c>
      <c r="D291" s="22" t="s">
        <v>178</v>
      </c>
      <c r="E291" s="22" t="s">
        <v>179</v>
      </c>
      <c r="F291" s="23" t="n">
        <v>5</v>
      </c>
      <c r="G291" s="23" t="n">
        <v>4.276</v>
      </c>
      <c r="H291" s="20" t="n">
        <v>19.5</v>
      </c>
      <c r="I291" s="22" t="s">
        <v>180</v>
      </c>
      <c r="J291" s="20" t="n">
        <v>31.54</v>
      </c>
      <c r="K291" s="24" t="n">
        <f aca="false">K290+J291</f>
        <v>8936.64</v>
      </c>
      <c r="L291" s="24" t="n">
        <f aca="false">Well_Data!$B$10-K291</f>
        <v>3563.36</v>
      </c>
      <c r="M291" s="24" t="n">
        <f aca="false">Well_Data!$B$10-K291+J291</f>
        <v>3594.9</v>
      </c>
      <c r="N291" s="25" t="n">
        <f aca="false">G291^2/1029.4</f>
        <v>0.0177619739654167</v>
      </c>
      <c r="O291" s="26" t="n">
        <f aca="false">N291*J291</f>
        <v>0.560212658869244</v>
      </c>
      <c r="P291" s="25" t="n">
        <f aca="false">(F291^2-G291^2)/1029.4</f>
        <v>0.00652401787449</v>
      </c>
      <c r="Q291" s="26" t="n">
        <f aca="false">P291*J291</f>
        <v>0.205767523761414</v>
      </c>
    </row>
    <row r="292" customFormat="false" ht="15" hidden="false" customHeight="true" outlineLevel="0" collapsed="false">
      <c r="A292" s="22" t="n">
        <v>291</v>
      </c>
      <c r="B292" s="22" t="n">
        <v>284</v>
      </c>
      <c r="C292" s="22" t="n">
        <v>84</v>
      </c>
      <c r="D292" s="22" t="s">
        <v>178</v>
      </c>
      <c r="E292" s="22" t="s">
        <v>179</v>
      </c>
      <c r="F292" s="23" t="n">
        <v>5</v>
      </c>
      <c r="G292" s="23" t="n">
        <v>4.276</v>
      </c>
      <c r="H292" s="20" t="n">
        <v>19.5</v>
      </c>
      <c r="I292" s="22" t="s">
        <v>180</v>
      </c>
      <c r="J292" s="20" t="n">
        <v>31.11</v>
      </c>
      <c r="K292" s="24" t="n">
        <f aca="false">K291+J292</f>
        <v>8967.75</v>
      </c>
      <c r="L292" s="24" t="n">
        <f aca="false">Well_Data!$B$10-K292</f>
        <v>3532.25</v>
      </c>
      <c r="M292" s="24" t="n">
        <f aca="false">Well_Data!$B$10-K292+J292</f>
        <v>3563.36</v>
      </c>
      <c r="N292" s="25" t="n">
        <f aca="false">G292^2/1029.4</f>
        <v>0.0177619739654167</v>
      </c>
      <c r="O292" s="26" t="n">
        <f aca="false">N292*J292</f>
        <v>0.552575010064115</v>
      </c>
      <c r="P292" s="25" t="n">
        <f aca="false">(F292^2-G292^2)/1029.4</f>
        <v>0.00652401787449</v>
      </c>
      <c r="Q292" s="26" t="n">
        <f aca="false">P292*J292</f>
        <v>0.202962196075384</v>
      </c>
    </row>
    <row r="293" customFormat="false" ht="15" hidden="false" customHeight="true" outlineLevel="0" collapsed="false">
      <c r="A293" s="22" t="n">
        <v>292</v>
      </c>
      <c r="B293" s="22" t="n">
        <v>285</v>
      </c>
      <c r="C293" s="22" t="n">
        <v>84</v>
      </c>
      <c r="D293" s="22" t="s">
        <v>178</v>
      </c>
      <c r="E293" s="22" t="s">
        <v>179</v>
      </c>
      <c r="F293" s="23" t="n">
        <v>5</v>
      </c>
      <c r="G293" s="23" t="n">
        <v>4.276</v>
      </c>
      <c r="H293" s="20" t="n">
        <v>19.5</v>
      </c>
      <c r="I293" s="22" t="s">
        <v>180</v>
      </c>
      <c r="J293" s="20" t="n">
        <v>31.02</v>
      </c>
      <c r="K293" s="24" t="n">
        <f aca="false">K292+J293</f>
        <v>8998.77</v>
      </c>
      <c r="L293" s="24" t="n">
        <f aca="false">Well_Data!$B$10-K293</f>
        <v>3501.23</v>
      </c>
      <c r="M293" s="24" t="n">
        <f aca="false">Well_Data!$B$10-K293+J293</f>
        <v>3532.25</v>
      </c>
      <c r="N293" s="25" t="n">
        <f aca="false">G293^2/1029.4</f>
        <v>0.0177619739654167</v>
      </c>
      <c r="O293" s="26" t="n">
        <f aca="false">N293*J293</f>
        <v>0.550976432407227</v>
      </c>
      <c r="P293" s="25" t="n">
        <f aca="false">(F293^2-G293^2)/1029.4</f>
        <v>0.00652401787449</v>
      </c>
      <c r="Q293" s="26" t="n">
        <f aca="false">P293*J293</f>
        <v>0.20237503446668</v>
      </c>
    </row>
    <row r="294" customFormat="false" ht="15" hidden="false" customHeight="true" outlineLevel="0" collapsed="false">
      <c r="A294" s="22" t="n">
        <v>293</v>
      </c>
      <c r="B294" s="22" t="n">
        <v>286</v>
      </c>
      <c r="C294" s="22" t="n">
        <v>85</v>
      </c>
      <c r="D294" s="22" t="s">
        <v>178</v>
      </c>
      <c r="E294" s="22" t="s">
        <v>179</v>
      </c>
      <c r="F294" s="23" t="n">
        <v>5</v>
      </c>
      <c r="G294" s="23" t="n">
        <v>4.276</v>
      </c>
      <c r="H294" s="20" t="n">
        <v>19.5</v>
      </c>
      <c r="I294" s="22" t="s">
        <v>180</v>
      </c>
      <c r="J294" s="20" t="n">
        <v>30.98</v>
      </c>
      <c r="K294" s="24" t="n">
        <f aca="false">K293+J294</f>
        <v>9029.75</v>
      </c>
      <c r="L294" s="24" t="n">
        <f aca="false">Well_Data!$B$10-K294</f>
        <v>3470.25</v>
      </c>
      <c r="M294" s="24" t="n">
        <f aca="false">Well_Data!$B$10-K294+J294</f>
        <v>3501.23</v>
      </c>
      <c r="N294" s="25" t="n">
        <f aca="false">G294^2/1029.4</f>
        <v>0.0177619739654167</v>
      </c>
      <c r="O294" s="26" t="n">
        <f aca="false">N294*J294</f>
        <v>0.550265953448611</v>
      </c>
      <c r="P294" s="25" t="n">
        <f aca="false">(F294^2-G294^2)/1029.4</f>
        <v>0.00652401787449</v>
      </c>
      <c r="Q294" s="26" t="n">
        <f aca="false">P294*J294</f>
        <v>0.2021140737517</v>
      </c>
    </row>
    <row r="295" customFormat="false" ht="15" hidden="false" customHeight="true" outlineLevel="0" collapsed="false">
      <c r="A295" s="22" t="n">
        <v>294</v>
      </c>
      <c r="B295" s="22" t="n">
        <v>287</v>
      </c>
      <c r="C295" s="22" t="n">
        <v>85</v>
      </c>
      <c r="D295" s="22" t="s">
        <v>178</v>
      </c>
      <c r="E295" s="22" t="s">
        <v>179</v>
      </c>
      <c r="F295" s="23" t="n">
        <v>5</v>
      </c>
      <c r="G295" s="23" t="n">
        <v>4.276</v>
      </c>
      <c r="H295" s="20" t="n">
        <v>19.5</v>
      </c>
      <c r="I295" s="22" t="s">
        <v>180</v>
      </c>
      <c r="J295" s="20" t="n">
        <v>31.32</v>
      </c>
      <c r="K295" s="24" t="n">
        <f aca="false">K294+J295</f>
        <v>9061.07</v>
      </c>
      <c r="L295" s="24" t="n">
        <f aca="false">Well_Data!$B$10-K295</f>
        <v>3438.93</v>
      </c>
      <c r="M295" s="24" t="n">
        <f aca="false">Well_Data!$B$10-K295+J295</f>
        <v>3470.25</v>
      </c>
      <c r="N295" s="25" t="n">
        <f aca="false">G295^2/1029.4</f>
        <v>0.0177619739654167</v>
      </c>
      <c r="O295" s="26" t="n">
        <f aca="false">N295*J295</f>
        <v>0.556305024596852</v>
      </c>
      <c r="P295" s="25" t="n">
        <f aca="false">(F295^2-G295^2)/1029.4</f>
        <v>0.00652401787449</v>
      </c>
      <c r="Q295" s="26" t="n">
        <f aca="false">P295*J295</f>
        <v>0.204332239829027</v>
      </c>
    </row>
    <row r="296" customFormat="false" ht="15" hidden="false" customHeight="true" outlineLevel="0" collapsed="false">
      <c r="A296" s="22" t="n">
        <v>295</v>
      </c>
      <c r="B296" s="22" t="n">
        <v>288</v>
      </c>
      <c r="C296" s="22" t="n">
        <v>85</v>
      </c>
      <c r="D296" s="22" t="s">
        <v>178</v>
      </c>
      <c r="E296" s="22" t="s">
        <v>179</v>
      </c>
      <c r="F296" s="23" t="n">
        <v>5</v>
      </c>
      <c r="G296" s="23" t="n">
        <v>4.276</v>
      </c>
      <c r="H296" s="20" t="n">
        <v>19.5</v>
      </c>
      <c r="I296" s="22" t="s">
        <v>180</v>
      </c>
      <c r="J296" s="20" t="n">
        <v>31.29</v>
      </c>
      <c r="K296" s="24" t="n">
        <f aca="false">K295+J296</f>
        <v>9092.36</v>
      </c>
      <c r="L296" s="24" t="n">
        <f aca="false">Well_Data!$B$10-K296</f>
        <v>3407.64</v>
      </c>
      <c r="M296" s="24" t="n">
        <f aca="false">Well_Data!$B$10-K296+J296</f>
        <v>3438.93</v>
      </c>
      <c r="N296" s="25" t="n">
        <f aca="false">G296^2/1029.4</f>
        <v>0.0177619739654167</v>
      </c>
      <c r="O296" s="26" t="n">
        <f aca="false">N296*J296</f>
        <v>0.55577216537789</v>
      </c>
      <c r="P296" s="25" t="n">
        <f aca="false">(F296^2-G296^2)/1029.4</f>
        <v>0.00652401787449</v>
      </c>
      <c r="Q296" s="26" t="n">
        <f aca="false">P296*J296</f>
        <v>0.204136519292792</v>
      </c>
    </row>
    <row r="297" customFormat="false" ht="15" hidden="false" customHeight="true" outlineLevel="0" collapsed="false">
      <c r="A297" s="22" t="n">
        <v>296</v>
      </c>
      <c r="B297" s="22" t="n">
        <v>289</v>
      </c>
      <c r="C297" s="22" t="n">
        <v>86</v>
      </c>
      <c r="D297" s="22" t="s">
        <v>178</v>
      </c>
      <c r="E297" s="22" t="s">
        <v>179</v>
      </c>
      <c r="F297" s="23" t="n">
        <v>5</v>
      </c>
      <c r="G297" s="23" t="n">
        <v>4.276</v>
      </c>
      <c r="H297" s="20" t="n">
        <v>19.5</v>
      </c>
      <c r="I297" s="22" t="s">
        <v>180</v>
      </c>
      <c r="J297" s="20" t="n">
        <v>31.58</v>
      </c>
      <c r="K297" s="24" t="n">
        <f aca="false">K296+J297</f>
        <v>9123.94</v>
      </c>
      <c r="L297" s="24" t="n">
        <f aca="false">Well_Data!$B$10-K297</f>
        <v>3376.06</v>
      </c>
      <c r="M297" s="24" t="n">
        <f aca="false">Well_Data!$B$10-K297+J297</f>
        <v>3407.64</v>
      </c>
      <c r="N297" s="25" t="n">
        <f aca="false">G297^2/1029.4</f>
        <v>0.0177619739654167</v>
      </c>
      <c r="O297" s="26" t="n">
        <f aca="false">N297*J297</f>
        <v>0.560923137827861</v>
      </c>
      <c r="P297" s="25" t="n">
        <f aca="false">(F297^2-G297^2)/1029.4</f>
        <v>0.00652401787449</v>
      </c>
      <c r="Q297" s="26" t="n">
        <f aca="false">P297*J297</f>
        <v>0.206028484476394</v>
      </c>
    </row>
    <row r="298" customFormat="false" ht="15" hidden="false" customHeight="true" outlineLevel="0" collapsed="false">
      <c r="A298" s="22" t="n">
        <v>297</v>
      </c>
      <c r="B298" s="22" t="n">
        <v>290</v>
      </c>
      <c r="C298" s="22" t="n">
        <v>86</v>
      </c>
      <c r="D298" s="22" t="s">
        <v>178</v>
      </c>
      <c r="E298" s="22" t="s">
        <v>179</v>
      </c>
      <c r="F298" s="23" t="n">
        <v>5</v>
      </c>
      <c r="G298" s="23" t="n">
        <v>4.276</v>
      </c>
      <c r="H298" s="20" t="n">
        <v>19.5</v>
      </c>
      <c r="I298" s="22" t="s">
        <v>180</v>
      </c>
      <c r="J298" s="20" t="n">
        <v>31.42</v>
      </c>
      <c r="K298" s="24" t="n">
        <f aca="false">K297+J298</f>
        <v>9155.36</v>
      </c>
      <c r="L298" s="24" t="n">
        <f aca="false">Well_Data!$B$10-K298</f>
        <v>3344.64</v>
      </c>
      <c r="M298" s="24" t="n">
        <f aca="false">Well_Data!$B$10-K298+J298</f>
        <v>3376.06</v>
      </c>
      <c r="N298" s="25" t="n">
        <f aca="false">G298^2/1029.4</f>
        <v>0.0177619739654167</v>
      </c>
      <c r="O298" s="26" t="n">
        <f aca="false">N298*J298</f>
        <v>0.558081221993394</v>
      </c>
      <c r="P298" s="25" t="n">
        <f aca="false">(F298^2-G298^2)/1029.4</f>
        <v>0.00652401787449</v>
      </c>
      <c r="Q298" s="26" t="n">
        <f aca="false">P298*J298</f>
        <v>0.204984641616476</v>
      </c>
    </row>
    <row r="299" customFormat="false" ht="15" hidden="false" customHeight="true" outlineLevel="0" collapsed="false">
      <c r="A299" s="22" t="n">
        <v>298</v>
      </c>
      <c r="B299" s="22" t="n">
        <v>291</v>
      </c>
      <c r="C299" s="22" t="n">
        <v>86</v>
      </c>
      <c r="D299" s="22" t="s">
        <v>178</v>
      </c>
      <c r="E299" s="22" t="s">
        <v>179</v>
      </c>
      <c r="F299" s="23" t="n">
        <v>5</v>
      </c>
      <c r="G299" s="23" t="n">
        <v>4.276</v>
      </c>
      <c r="H299" s="20" t="n">
        <v>19.5</v>
      </c>
      <c r="I299" s="22" t="s">
        <v>180</v>
      </c>
      <c r="J299" s="20" t="n">
        <v>31.15</v>
      </c>
      <c r="K299" s="24" t="n">
        <f aca="false">K298+J299</f>
        <v>9186.51</v>
      </c>
      <c r="L299" s="24" t="n">
        <f aca="false">Well_Data!$B$10-K299</f>
        <v>3313.49</v>
      </c>
      <c r="M299" s="24" t="n">
        <f aca="false">Well_Data!$B$10-K299+J299</f>
        <v>3344.64</v>
      </c>
      <c r="N299" s="25" t="n">
        <f aca="false">G299^2/1029.4</f>
        <v>0.0177619739654167</v>
      </c>
      <c r="O299" s="26" t="n">
        <f aca="false">N299*J299</f>
        <v>0.553285489022732</v>
      </c>
      <c r="P299" s="25" t="n">
        <f aca="false">(F299^2-G299^2)/1029.4</f>
        <v>0.00652401787449</v>
      </c>
      <c r="Q299" s="26" t="n">
        <f aca="false">P299*J299</f>
        <v>0.203223156790363</v>
      </c>
    </row>
    <row r="300" customFormat="false" ht="15" hidden="false" customHeight="true" outlineLevel="0" collapsed="false">
      <c r="A300" s="22" t="n">
        <v>299</v>
      </c>
      <c r="B300" s="22" t="n">
        <v>292</v>
      </c>
      <c r="C300" s="22" t="n">
        <v>87</v>
      </c>
      <c r="D300" s="22" t="s">
        <v>178</v>
      </c>
      <c r="E300" s="22" t="s">
        <v>179</v>
      </c>
      <c r="F300" s="23" t="n">
        <v>5</v>
      </c>
      <c r="G300" s="23" t="n">
        <v>4.276</v>
      </c>
      <c r="H300" s="20" t="n">
        <v>19.5</v>
      </c>
      <c r="I300" s="22" t="s">
        <v>180</v>
      </c>
      <c r="J300" s="20" t="n">
        <v>31.42</v>
      </c>
      <c r="K300" s="24" t="n">
        <f aca="false">K299+J300</f>
        <v>9217.93</v>
      </c>
      <c r="L300" s="24" t="n">
        <f aca="false">Well_Data!$B$10-K300</f>
        <v>3282.07</v>
      </c>
      <c r="M300" s="24" t="n">
        <f aca="false">Well_Data!$B$10-K300+J300</f>
        <v>3313.49</v>
      </c>
      <c r="N300" s="25" t="n">
        <f aca="false">G300^2/1029.4</f>
        <v>0.0177619739654167</v>
      </c>
      <c r="O300" s="26" t="n">
        <f aca="false">N300*J300</f>
        <v>0.558081221993394</v>
      </c>
      <c r="P300" s="25" t="n">
        <f aca="false">(F300^2-G300^2)/1029.4</f>
        <v>0.00652401787449</v>
      </c>
      <c r="Q300" s="26" t="n">
        <f aca="false">P300*J300</f>
        <v>0.204984641616476</v>
      </c>
    </row>
    <row r="301" customFormat="false" ht="15" hidden="false" customHeight="true" outlineLevel="0" collapsed="false">
      <c r="A301" s="22" t="n">
        <v>300</v>
      </c>
      <c r="B301" s="22" t="n">
        <v>293</v>
      </c>
      <c r="C301" s="22" t="n">
        <v>87</v>
      </c>
      <c r="D301" s="22" t="s">
        <v>178</v>
      </c>
      <c r="E301" s="22" t="s">
        <v>179</v>
      </c>
      <c r="F301" s="23" t="n">
        <v>5</v>
      </c>
      <c r="G301" s="23" t="n">
        <v>4.276</v>
      </c>
      <c r="H301" s="20" t="n">
        <v>19.5</v>
      </c>
      <c r="I301" s="22" t="s">
        <v>180</v>
      </c>
      <c r="J301" s="20" t="n">
        <v>30.86</v>
      </c>
      <c r="K301" s="24" t="n">
        <f aca="false">K300+J301</f>
        <v>9248.79</v>
      </c>
      <c r="L301" s="24" t="n">
        <f aca="false">Well_Data!$B$10-K301</f>
        <v>3251.21</v>
      </c>
      <c r="M301" s="24" t="n">
        <f aca="false">Well_Data!$B$10-K301+J301</f>
        <v>3282.07</v>
      </c>
      <c r="N301" s="25" t="n">
        <f aca="false">G301^2/1029.4</f>
        <v>0.0177619739654167</v>
      </c>
      <c r="O301" s="26" t="n">
        <f aca="false">N301*J301</f>
        <v>0.548134516572761</v>
      </c>
      <c r="P301" s="25" t="n">
        <f aca="false">(F301^2-G301^2)/1029.4</f>
        <v>0.00652401787449</v>
      </c>
      <c r="Q301" s="26" t="n">
        <f aca="false">P301*J301</f>
        <v>0.201331191606761</v>
      </c>
    </row>
    <row r="302" customFormat="false" ht="15" hidden="false" customHeight="true" outlineLevel="0" collapsed="false">
      <c r="A302" s="22" t="n">
        <v>301</v>
      </c>
      <c r="B302" s="22" t="n">
        <v>294</v>
      </c>
      <c r="C302" s="22" t="n">
        <v>87</v>
      </c>
      <c r="D302" s="22" t="s">
        <v>178</v>
      </c>
      <c r="E302" s="22" t="s">
        <v>179</v>
      </c>
      <c r="F302" s="23" t="n">
        <v>5</v>
      </c>
      <c r="G302" s="23" t="n">
        <v>4.276</v>
      </c>
      <c r="H302" s="20" t="n">
        <v>19.5</v>
      </c>
      <c r="I302" s="22" t="s">
        <v>180</v>
      </c>
      <c r="J302" s="20" t="n">
        <v>31.09</v>
      </c>
      <c r="K302" s="24" t="n">
        <f aca="false">K301+J302</f>
        <v>9279.88</v>
      </c>
      <c r="L302" s="24" t="n">
        <f aca="false">Well_Data!$B$10-K302</f>
        <v>3220.12</v>
      </c>
      <c r="M302" s="24" t="n">
        <f aca="false">Well_Data!$B$10-K302+J302</f>
        <v>3251.21</v>
      </c>
      <c r="N302" s="25" t="n">
        <f aca="false">G302^2/1029.4</f>
        <v>0.0177619739654167</v>
      </c>
      <c r="O302" s="26" t="n">
        <f aca="false">N302*J302</f>
        <v>0.552219770584807</v>
      </c>
      <c r="P302" s="25" t="n">
        <f aca="false">(F302^2-G302^2)/1029.4</f>
        <v>0.00652401787449</v>
      </c>
      <c r="Q302" s="26" t="n">
        <f aca="false">P302*J302</f>
        <v>0.202831715717894</v>
      </c>
    </row>
    <row r="303" customFormat="false" ht="15" hidden="false" customHeight="true" outlineLevel="0" collapsed="false">
      <c r="A303" s="22" t="n">
        <v>302</v>
      </c>
      <c r="B303" s="22" t="n">
        <v>295</v>
      </c>
      <c r="C303" s="22" t="n">
        <v>88</v>
      </c>
      <c r="D303" s="22" t="s">
        <v>178</v>
      </c>
      <c r="E303" s="22" t="s">
        <v>179</v>
      </c>
      <c r="F303" s="23" t="n">
        <v>5</v>
      </c>
      <c r="G303" s="23" t="n">
        <v>4.276</v>
      </c>
      <c r="H303" s="20" t="n">
        <v>19.5</v>
      </c>
      <c r="I303" s="22" t="s">
        <v>180</v>
      </c>
      <c r="J303" s="20" t="n">
        <v>30.96</v>
      </c>
      <c r="K303" s="24" t="n">
        <f aca="false">K302+J303</f>
        <v>9310.84</v>
      </c>
      <c r="L303" s="24" t="n">
        <f aca="false">Well_Data!$B$10-K303</f>
        <v>3189.16</v>
      </c>
      <c r="M303" s="24" t="n">
        <f aca="false">Well_Data!$B$10-K303+J303</f>
        <v>3220.12</v>
      </c>
      <c r="N303" s="25" t="n">
        <f aca="false">G303^2/1029.4</f>
        <v>0.0177619739654167</v>
      </c>
      <c r="O303" s="26" t="n">
        <f aca="false">N303*J303</f>
        <v>0.549910713969302</v>
      </c>
      <c r="P303" s="25" t="n">
        <f aca="false">(F303^2-G303^2)/1029.4</f>
        <v>0.00652401787449</v>
      </c>
      <c r="Q303" s="26" t="n">
        <f aca="false">P303*J303</f>
        <v>0.20198359339421</v>
      </c>
    </row>
    <row r="304" customFormat="false" ht="15" hidden="false" customHeight="true" outlineLevel="0" collapsed="false">
      <c r="A304" s="22" t="n">
        <v>303</v>
      </c>
      <c r="B304" s="22" t="n">
        <v>296</v>
      </c>
      <c r="C304" s="22" t="n">
        <v>88</v>
      </c>
      <c r="D304" s="22" t="s">
        <v>178</v>
      </c>
      <c r="E304" s="22" t="s">
        <v>179</v>
      </c>
      <c r="F304" s="23" t="n">
        <v>5</v>
      </c>
      <c r="G304" s="23" t="n">
        <v>4.276</v>
      </c>
      <c r="H304" s="20" t="n">
        <v>19.5</v>
      </c>
      <c r="I304" s="22" t="s">
        <v>180</v>
      </c>
      <c r="J304" s="20" t="n">
        <v>31.04</v>
      </c>
      <c r="K304" s="24" t="n">
        <f aca="false">K303+J304</f>
        <v>9341.88</v>
      </c>
      <c r="L304" s="24" t="n">
        <f aca="false">Well_Data!$B$10-K304</f>
        <v>3158.12</v>
      </c>
      <c r="M304" s="24" t="n">
        <f aca="false">Well_Data!$B$10-K304+J304</f>
        <v>3189.16</v>
      </c>
      <c r="N304" s="25" t="n">
        <f aca="false">G304^2/1029.4</f>
        <v>0.0177619739654167</v>
      </c>
      <c r="O304" s="26" t="n">
        <f aca="false">N304*J304</f>
        <v>0.551331671886536</v>
      </c>
      <c r="P304" s="25" t="n">
        <f aca="false">(F304^2-G304^2)/1029.4</f>
        <v>0.00652401787449</v>
      </c>
      <c r="Q304" s="26" t="n">
        <f aca="false">P304*J304</f>
        <v>0.202505514824169</v>
      </c>
    </row>
    <row r="305" customFormat="false" ht="15" hidden="false" customHeight="true" outlineLevel="0" collapsed="false">
      <c r="A305" s="22" t="n">
        <v>304</v>
      </c>
      <c r="B305" s="22" t="n">
        <v>297</v>
      </c>
      <c r="C305" s="22" t="n">
        <v>88</v>
      </c>
      <c r="D305" s="22" t="s">
        <v>178</v>
      </c>
      <c r="E305" s="22" t="s">
        <v>179</v>
      </c>
      <c r="F305" s="23" t="n">
        <v>5</v>
      </c>
      <c r="G305" s="23" t="n">
        <v>4.276</v>
      </c>
      <c r="H305" s="20" t="n">
        <v>19.5</v>
      </c>
      <c r="I305" s="22" t="s">
        <v>180</v>
      </c>
      <c r="J305" s="20" t="n">
        <v>31.05</v>
      </c>
      <c r="K305" s="24" t="n">
        <f aca="false">K304+J305</f>
        <v>9372.93</v>
      </c>
      <c r="L305" s="24" t="n">
        <f aca="false">Well_Data!$B$10-K305</f>
        <v>3127.07</v>
      </c>
      <c r="M305" s="24" t="n">
        <f aca="false">Well_Data!$B$10-K305+J305</f>
        <v>3158.12</v>
      </c>
      <c r="N305" s="25" t="n">
        <f aca="false">G305^2/1029.4</f>
        <v>0.0177619739654167</v>
      </c>
      <c r="O305" s="26" t="n">
        <f aca="false">N305*J305</f>
        <v>0.55150929162619</v>
      </c>
      <c r="P305" s="25" t="n">
        <f aca="false">(F305^2-G305^2)/1029.4</f>
        <v>0.00652401787449</v>
      </c>
      <c r="Q305" s="26" t="n">
        <f aca="false">P305*J305</f>
        <v>0.202570755002914</v>
      </c>
    </row>
    <row r="306" customFormat="false" ht="15" hidden="false" customHeight="true" outlineLevel="0" collapsed="false">
      <c r="A306" s="22" t="n">
        <v>305</v>
      </c>
      <c r="B306" s="22" t="n">
        <v>298</v>
      </c>
      <c r="C306" s="22" t="n">
        <v>89</v>
      </c>
      <c r="D306" s="22" t="s">
        <v>178</v>
      </c>
      <c r="E306" s="22" t="s">
        <v>179</v>
      </c>
      <c r="F306" s="23" t="n">
        <v>5</v>
      </c>
      <c r="G306" s="23" t="n">
        <v>4.276</v>
      </c>
      <c r="H306" s="20" t="n">
        <v>19.5</v>
      </c>
      <c r="I306" s="22" t="s">
        <v>180</v>
      </c>
      <c r="J306" s="20" t="n">
        <v>30.9</v>
      </c>
      <c r="K306" s="24" t="n">
        <f aca="false">K305+J306</f>
        <v>9403.83</v>
      </c>
      <c r="L306" s="24" t="n">
        <f aca="false">Well_Data!$B$10-K306</f>
        <v>3096.17</v>
      </c>
      <c r="M306" s="24" t="n">
        <f aca="false">Well_Data!$B$10-K306+J306</f>
        <v>3127.07</v>
      </c>
      <c r="N306" s="25" t="n">
        <f aca="false">G306^2/1029.4</f>
        <v>0.0177619739654167</v>
      </c>
      <c r="O306" s="26" t="n">
        <f aca="false">N306*J306</f>
        <v>0.548844995531377</v>
      </c>
      <c r="P306" s="25" t="n">
        <f aca="false">(F306^2-G306^2)/1029.4</f>
        <v>0.00652401787449</v>
      </c>
      <c r="Q306" s="26" t="n">
        <f aca="false">P306*J306</f>
        <v>0.201592152321741</v>
      </c>
    </row>
    <row r="307" customFormat="false" ht="15" hidden="false" customHeight="true" outlineLevel="0" collapsed="false">
      <c r="A307" s="22" t="n">
        <v>306</v>
      </c>
      <c r="B307" s="22" t="n">
        <v>299</v>
      </c>
      <c r="C307" s="22" t="n">
        <v>89</v>
      </c>
      <c r="D307" s="22" t="s">
        <v>178</v>
      </c>
      <c r="E307" s="22" t="s">
        <v>179</v>
      </c>
      <c r="F307" s="23" t="n">
        <v>5</v>
      </c>
      <c r="G307" s="23" t="n">
        <v>4.276</v>
      </c>
      <c r="H307" s="20" t="n">
        <v>19.5</v>
      </c>
      <c r="I307" s="22" t="s">
        <v>180</v>
      </c>
      <c r="J307" s="20" t="n">
        <v>31.24</v>
      </c>
      <c r="K307" s="24" t="n">
        <f aca="false">K306+J307</f>
        <v>9435.07</v>
      </c>
      <c r="L307" s="24" t="n">
        <f aca="false">Well_Data!$B$10-K307</f>
        <v>3064.93</v>
      </c>
      <c r="M307" s="24" t="n">
        <f aca="false">Well_Data!$B$10-K307+J307</f>
        <v>3096.17</v>
      </c>
      <c r="N307" s="25" t="n">
        <f aca="false">G307^2/1029.4</f>
        <v>0.0177619739654167</v>
      </c>
      <c r="O307" s="26" t="n">
        <f aca="false">N307*J307</f>
        <v>0.554884066679619</v>
      </c>
      <c r="P307" s="25" t="n">
        <f aca="false">(F307^2-G307^2)/1029.4</f>
        <v>0.00652401787449</v>
      </c>
      <c r="Q307" s="26" t="n">
        <f aca="false">P307*J307</f>
        <v>0.203810318399067</v>
      </c>
    </row>
    <row r="308" customFormat="false" ht="15" hidden="false" customHeight="true" outlineLevel="0" collapsed="false">
      <c r="A308" s="22" t="n">
        <v>307</v>
      </c>
      <c r="B308" s="22" t="n">
        <v>300</v>
      </c>
      <c r="C308" s="22" t="n">
        <v>89</v>
      </c>
      <c r="D308" s="22" t="s">
        <v>178</v>
      </c>
      <c r="E308" s="22" t="s">
        <v>179</v>
      </c>
      <c r="F308" s="23" t="n">
        <v>5</v>
      </c>
      <c r="G308" s="23" t="n">
        <v>4.276</v>
      </c>
      <c r="H308" s="20" t="n">
        <v>19.5</v>
      </c>
      <c r="I308" s="22" t="s">
        <v>180</v>
      </c>
      <c r="J308" s="20" t="n">
        <v>31.43</v>
      </c>
      <c r="K308" s="24" t="n">
        <f aca="false">K307+J308</f>
        <v>9466.5</v>
      </c>
      <c r="L308" s="24" t="n">
        <f aca="false">Well_Data!$B$10-K308</f>
        <v>3033.5</v>
      </c>
      <c r="M308" s="24" t="n">
        <f aca="false">Well_Data!$B$10-K308+J308</f>
        <v>3064.93</v>
      </c>
      <c r="N308" s="25" t="n">
        <f aca="false">G308^2/1029.4</f>
        <v>0.0177619739654167</v>
      </c>
      <c r="O308" s="26" t="n">
        <f aca="false">N308*J308</f>
        <v>0.558258841733048</v>
      </c>
      <c r="P308" s="25" t="n">
        <f aca="false">(F308^2-G308^2)/1029.4</f>
        <v>0.00652401787449</v>
      </c>
      <c r="Q308" s="26" t="n">
        <f aca="false">P308*J308</f>
        <v>0.205049881795221</v>
      </c>
    </row>
    <row r="309" customFormat="false" ht="15" hidden="false" customHeight="true" outlineLevel="0" collapsed="false">
      <c r="A309" s="22" t="n">
        <v>308</v>
      </c>
      <c r="B309" s="22" t="n">
        <v>301</v>
      </c>
      <c r="C309" s="22" t="n">
        <v>90</v>
      </c>
      <c r="D309" s="22" t="s">
        <v>178</v>
      </c>
      <c r="E309" s="22" t="s">
        <v>179</v>
      </c>
      <c r="F309" s="23" t="n">
        <v>5</v>
      </c>
      <c r="G309" s="23" t="n">
        <v>4.276</v>
      </c>
      <c r="H309" s="20" t="n">
        <v>19.5</v>
      </c>
      <c r="I309" s="22" t="s">
        <v>180</v>
      </c>
      <c r="J309" s="20" t="n">
        <v>31</v>
      </c>
      <c r="K309" s="24" t="n">
        <f aca="false">K308+J309</f>
        <v>9497.5</v>
      </c>
      <c r="L309" s="24" t="n">
        <f aca="false">Well_Data!$B$10-K309</f>
        <v>3002.5</v>
      </c>
      <c r="M309" s="24" t="n">
        <f aca="false">Well_Data!$B$10-K309+J309</f>
        <v>3033.5</v>
      </c>
      <c r="N309" s="25" t="n">
        <f aca="false">G309^2/1029.4</f>
        <v>0.0177619739654167</v>
      </c>
      <c r="O309" s="26" t="n">
        <f aca="false">N309*J309</f>
        <v>0.550621192927919</v>
      </c>
      <c r="P309" s="25" t="n">
        <f aca="false">(F309^2-G309^2)/1029.4</f>
        <v>0.00652401787449</v>
      </c>
      <c r="Q309" s="26" t="n">
        <f aca="false">P309*J309</f>
        <v>0.20224455410919</v>
      </c>
    </row>
    <row r="310" customFormat="false" ht="15" hidden="false" customHeight="true" outlineLevel="0" collapsed="false">
      <c r="A310" s="22" t="n">
        <v>309</v>
      </c>
      <c r="B310" s="22" t="n">
        <v>302</v>
      </c>
      <c r="C310" s="22" t="n">
        <v>90</v>
      </c>
      <c r="D310" s="22" t="s">
        <v>178</v>
      </c>
      <c r="E310" s="22" t="s">
        <v>179</v>
      </c>
      <c r="F310" s="23" t="n">
        <v>5</v>
      </c>
      <c r="G310" s="23" t="n">
        <v>4.276</v>
      </c>
      <c r="H310" s="20" t="n">
        <v>19.5</v>
      </c>
      <c r="I310" s="22" t="s">
        <v>180</v>
      </c>
      <c r="J310" s="20" t="n">
        <v>30.73</v>
      </c>
      <c r="K310" s="24" t="n">
        <f aca="false">K309+J310</f>
        <v>9528.23</v>
      </c>
      <c r="L310" s="24" t="n">
        <f aca="false">Well_Data!$B$10-K310</f>
        <v>2971.77</v>
      </c>
      <c r="M310" s="24" t="n">
        <f aca="false">Well_Data!$B$10-K310+J310</f>
        <v>3002.5</v>
      </c>
      <c r="N310" s="25" t="n">
        <f aca="false">G310^2/1029.4</f>
        <v>0.0177619739654167</v>
      </c>
      <c r="O310" s="26" t="n">
        <f aca="false">N310*J310</f>
        <v>0.545825459957257</v>
      </c>
      <c r="P310" s="25" t="n">
        <f aca="false">(F310^2-G310^2)/1029.4</f>
        <v>0.00652401787449</v>
      </c>
      <c r="Q310" s="26" t="n">
        <f aca="false">P310*J310</f>
        <v>0.200483069283078</v>
      </c>
    </row>
    <row r="311" customFormat="false" ht="15" hidden="false" customHeight="true" outlineLevel="0" collapsed="false">
      <c r="A311" s="22" t="n">
        <v>310</v>
      </c>
      <c r="B311" s="22" t="n">
        <v>303</v>
      </c>
      <c r="C311" s="22" t="n">
        <v>90</v>
      </c>
      <c r="D311" s="22" t="s">
        <v>178</v>
      </c>
      <c r="E311" s="22" t="s">
        <v>179</v>
      </c>
      <c r="F311" s="23" t="n">
        <v>5</v>
      </c>
      <c r="G311" s="23" t="n">
        <v>4.276</v>
      </c>
      <c r="H311" s="20" t="n">
        <v>19.5</v>
      </c>
      <c r="I311" s="22" t="s">
        <v>180</v>
      </c>
      <c r="J311" s="20" t="n">
        <v>31.36</v>
      </c>
      <c r="K311" s="24" t="n">
        <f aca="false">K310+J311</f>
        <v>9559.59</v>
      </c>
      <c r="L311" s="24" t="n">
        <f aca="false">Well_Data!$B$10-K311</f>
        <v>2940.41</v>
      </c>
      <c r="M311" s="24" t="n">
        <f aca="false">Well_Data!$B$10-K311+J311</f>
        <v>2971.77</v>
      </c>
      <c r="N311" s="25" t="n">
        <f aca="false">G311^2/1029.4</f>
        <v>0.0177619739654167</v>
      </c>
      <c r="O311" s="26" t="n">
        <f aca="false">N311*J311</f>
        <v>0.557015503555469</v>
      </c>
      <c r="P311" s="25" t="n">
        <f aca="false">(F311^2-G311^2)/1029.4</f>
        <v>0.00652401787449</v>
      </c>
      <c r="Q311" s="26" t="n">
        <f aca="false">P311*J311</f>
        <v>0.204593200544006</v>
      </c>
    </row>
    <row r="312" customFormat="false" ht="15" hidden="false" customHeight="true" outlineLevel="0" collapsed="false">
      <c r="A312" s="22" t="n">
        <v>311</v>
      </c>
      <c r="B312" s="22" t="n">
        <v>304</v>
      </c>
      <c r="C312" s="22" t="n">
        <v>91</v>
      </c>
      <c r="D312" s="22" t="s">
        <v>178</v>
      </c>
      <c r="E312" s="22" t="s">
        <v>179</v>
      </c>
      <c r="F312" s="23" t="n">
        <v>5</v>
      </c>
      <c r="G312" s="23" t="n">
        <v>4.276</v>
      </c>
      <c r="H312" s="20" t="n">
        <v>19.5</v>
      </c>
      <c r="I312" s="22" t="s">
        <v>180</v>
      </c>
      <c r="J312" s="20" t="n">
        <v>31.22</v>
      </c>
      <c r="K312" s="24" t="n">
        <f aca="false">K311+J312</f>
        <v>9590.81</v>
      </c>
      <c r="L312" s="24" t="n">
        <f aca="false">Well_Data!$B$10-K312</f>
        <v>2909.19</v>
      </c>
      <c r="M312" s="24" t="n">
        <f aca="false">Well_Data!$B$10-K312+J312</f>
        <v>2940.41</v>
      </c>
      <c r="N312" s="25" t="n">
        <f aca="false">G312^2/1029.4</f>
        <v>0.0177619739654167</v>
      </c>
      <c r="O312" s="26" t="n">
        <f aca="false">N312*J312</f>
        <v>0.554528827200311</v>
      </c>
      <c r="P312" s="25" t="n">
        <f aca="false">(F312^2-G312^2)/1029.4</f>
        <v>0.00652401787449</v>
      </c>
      <c r="Q312" s="26" t="n">
        <f aca="false">P312*J312</f>
        <v>0.203679838041578</v>
      </c>
    </row>
    <row r="313" customFormat="false" ht="15" hidden="false" customHeight="true" outlineLevel="0" collapsed="false">
      <c r="A313" s="22" t="n">
        <v>312</v>
      </c>
      <c r="B313" s="22" t="n">
        <v>305</v>
      </c>
      <c r="C313" s="22" t="n">
        <v>91</v>
      </c>
      <c r="D313" s="22" t="s">
        <v>178</v>
      </c>
      <c r="E313" s="22" t="s">
        <v>179</v>
      </c>
      <c r="F313" s="23" t="n">
        <v>5</v>
      </c>
      <c r="G313" s="23" t="n">
        <v>4.276</v>
      </c>
      <c r="H313" s="20" t="n">
        <v>19.5</v>
      </c>
      <c r="I313" s="22" t="s">
        <v>180</v>
      </c>
      <c r="J313" s="20" t="n">
        <v>31.18</v>
      </c>
      <c r="K313" s="24" t="n">
        <f aca="false">K312+J313</f>
        <v>9621.99</v>
      </c>
      <c r="L313" s="24" t="n">
        <f aca="false">Well_Data!$B$10-K313</f>
        <v>2878.01</v>
      </c>
      <c r="M313" s="24" t="n">
        <f aca="false">Well_Data!$B$10-K313+J313</f>
        <v>2909.19</v>
      </c>
      <c r="N313" s="25" t="n">
        <f aca="false">G313^2/1029.4</f>
        <v>0.0177619739654167</v>
      </c>
      <c r="O313" s="26" t="n">
        <f aca="false">N313*J313</f>
        <v>0.553818348241694</v>
      </c>
      <c r="P313" s="25" t="n">
        <f aca="false">(F313^2-G313^2)/1029.4</f>
        <v>0.00652401787449</v>
      </c>
      <c r="Q313" s="26" t="n">
        <f aca="false">P313*J313</f>
        <v>0.203418877326598</v>
      </c>
    </row>
    <row r="314" customFormat="false" ht="15" hidden="false" customHeight="true" outlineLevel="0" collapsed="false">
      <c r="A314" s="22" t="n">
        <v>313</v>
      </c>
      <c r="B314" s="22" t="n">
        <v>306</v>
      </c>
      <c r="C314" s="22" t="n">
        <v>91</v>
      </c>
      <c r="D314" s="22" t="s">
        <v>178</v>
      </c>
      <c r="E314" s="22" t="s">
        <v>179</v>
      </c>
      <c r="F314" s="23" t="n">
        <v>5</v>
      </c>
      <c r="G314" s="23" t="n">
        <v>4.276</v>
      </c>
      <c r="H314" s="20" t="n">
        <v>19.5</v>
      </c>
      <c r="I314" s="22" t="s">
        <v>180</v>
      </c>
      <c r="J314" s="20" t="n">
        <v>30.76</v>
      </c>
      <c r="K314" s="24" t="n">
        <f aca="false">K313+J314</f>
        <v>9652.75</v>
      </c>
      <c r="L314" s="24" t="n">
        <f aca="false">Well_Data!$B$10-K314</f>
        <v>2847.25</v>
      </c>
      <c r="M314" s="24" t="n">
        <f aca="false">Well_Data!$B$10-K314+J314</f>
        <v>2878.01</v>
      </c>
      <c r="N314" s="25" t="n">
        <f aca="false">G314^2/1029.4</f>
        <v>0.0177619739654167</v>
      </c>
      <c r="O314" s="26" t="n">
        <f aca="false">N314*J314</f>
        <v>0.546358319176219</v>
      </c>
      <c r="P314" s="25" t="n">
        <f aca="false">(F314^2-G314^2)/1029.4</f>
        <v>0.00652401787449</v>
      </c>
      <c r="Q314" s="26" t="n">
        <f aca="false">P314*J314</f>
        <v>0.200678789819312</v>
      </c>
    </row>
    <row r="315" customFormat="false" ht="15" hidden="false" customHeight="true" outlineLevel="0" collapsed="false">
      <c r="A315" s="22" t="n">
        <v>314</v>
      </c>
      <c r="B315" s="22" t="n">
        <v>307</v>
      </c>
      <c r="C315" s="22" t="n">
        <v>92</v>
      </c>
      <c r="D315" s="22" t="s">
        <v>178</v>
      </c>
      <c r="E315" s="22" t="s">
        <v>179</v>
      </c>
      <c r="F315" s="23" t="n">
        <v>5</v>
      </c>
      <c r="G315" s="23" t="n">
        <v>4.276</v>
      </c>
      <c r="H315" s="20" t="n">
        <v>19.5</v>
      </c>
      <c r="I315" s="22" t="s">
        <v>180</v>
      </c>
      <c r="J315" s="20" t="n">
        <v>31.15</v>
      </c>
      <c r="K315" s="24" t="n">
        <f aca="false">K314+J315</f>
        <v>9683.9</v>
      </c>
      <c r="L315" s="24" t="n">
        <f aca="false">Well_Data!$B$10-K315</f>
        <v>2816.1</v>
      </c>
      <c r="M315" s="24" t="n">
        <f aca="false">Well_Data!$B$10-K315+J315</f>
        <v>2847.25</v>
      </c>
      <c r="N315" s="25" t="n">
        <f aca="false">G315^2/1029.4</f>
        <v>0.0177619739654167</v>
      </c>
      <c r="O315" s="26" t="n">
        <f aca="false">N315*J315</f>
        <v>0.553285489022732</v>
      </c>
      <c r="P315" s="25" t="n">
        <f aca="false">(F315^2-G315^2)/1029.4</f>
        <v>0.00652401787449</v>
      </c>
      <c r="Q315" s="26" t="n">
        <f aca="false">P315*J315</f>
        <v>0.203223156790363</v>
      </c>
    </row>
    <row r="316" customFormat="false" ht="15" hidden="false" customHeight="true" outlineLevel="0" collapsed="false">
      <c r="A316" s="22" t="n">
        <v>315</v>
      </c>
      <c r="B316" s="22" t="n">
        <v>308</v>
      </c>
      <c r="C316" s="22" t="n">
        <v>92</v>
      </c>
      <c r="D316" s="22" t="s">
        <v>178</v>
      </c>
      <c r="E316" s="22" t="s">
        <v>179</v>
      </c>
      <c r="F316" s="23" t="n">
        <v>5</v>
      </c>
      <c r="G316" s="23" t="n">
        <v>4.276</v>
      </c>
      <c r="H316" s="20" t="n">
        <v>19.5</v>
      </c>
      <c r="I316" s="22" t="s">
        <v>180</v>
      </c>
      <c r="J316" s="20" t="n">
        <v>31.31</v>
      </c>
      <c r="K316" s="24" t="n">
        <f aca="false">K315+J316</f>
        <v>9715.21</v>
      </c>
      <c r="L316" s="24" t="n">
        <f aca="false">Well_Data!$B$10-K316</f>
        <v>2784.79</v>
      </c>
      <c r="M316" s="24" t="n">
        <f aca="false">Well_Data!$B$10-K316+J316</f>
        <v>2816.1</v>
      </c>
      <c r="N316" s="25" t="n">
        <f aca="false">G316^2/1029.4</f>
        <v>0.0177619739654167</v>
      </c>
      <c r="O316" s="26" t="n">
        <f aca="false">N316*J316</f>
        <v>0.556127404857198</v>
      </c>
      <c r="P316" s="25" t="n">
        <f aca="false">(F316^2-G316^2)/1029.4</f>
        <v>0.00652401787449</v>
      </c>
      <c r="Q316" s="26" t="n">
        <f aca="false">P316*J316</f>
        <v>0.204266999650282</v>
      </c>
    </row>
    <row r="317" customFormat="false" ht="15" hidden="false" customHeight="true" outlineLevel="0" collapsed="false">
      <c r="A317" s="22" t="n">
        <v>316</v>
      </c>
      <c r="B317" s="22" t="n">
        <v>309</v>
      </c>
      <c r="C317" s="22" t="n">
        <v>92</v>
      </c>
      <c r="D317" s="22" t="s">
        <v>178</v>
      </c>
      <c r="E317" s="22" t="s">
        <v>179</v>
      </c>
      <c r="F317" s="23" t="n">
        <v>5</v>
      </c>
      <c r="G317" s="23" t="n">
        <v>4.276</v>
      </c>
      <c r="H317" s="20" t="n">
        <v>19.5</v>
      </c>
      <c r="I317" s="22" t="s">
        <v>180</v>
      </c>
      <c r="J317" s="20" t="n">
        <v>30.98</v>
      </c>
      <c r="K317" s="24" t="n">
        <f aca="false">K316+J317</f>
        <v>9746.19</v>
      </c>
      <c r="L317" s="24" t="n">
        <f aca="false">Well_Data!$B$10-K317</f>
        <v>2753.81000000001</v>
      </c>
      <c r="M317" s="24" t="n">
        <f aca="false">Well_Data!$B$10-K317+J317</f>
        <v>2784.79000000001</v>
      </c>
      <c r="N317" s="25" t="n">
        <f aca="false">G317^2/1029.4</f>
        <v>0.0177619739654167</v>
      </c>
      <c r="O317" s="26" t="n">
        <f aca="false">N317*J317</f>
        <v>0.550265953448611</v>
      </c>
      <c r="P317" s="25" t="n">
        <f aca="false">(F317^2-G317^2)/1029.4</f>
        <v>0.00652401787449</v>
      </c>
      <c r="Q317" s="26" t="n">
        <f aca="false">P317*J317</f>
        <v>0.2021140737517</v>
      </c>
    </row>
    <row r="318" customFormat="false" ht="15" hidden="false" customHeight="true" outlineLevel="0" collapsed="false">
      <c r="A318" s="22" t="n">
        <v>317</v>
      </c>
      <c r="B318" s="22" t="n">
        <v>310</v>
      </c>
      <c r="C318" s="22" t="n">
        <v>93</v>
      </c>
      <c r="D318" s="22" t="s">
        <v>178</v>
      </c>
      <c r="E318" s="22" t="s">
        <v>179</v>
      </c>
      <c r="F318" s="23" t="n">
        <v>5</v>
      </c>
      <c r="G318" s="23" t="n">
        <v>4.276</v>
      </c>
      <c r="H318" s="20" t="n">
        <v>19.5</v>
      </c>
      <c r="I318" s="22" t="s">
        <v>180</v>
      </c>
      <c r="J318" s="20" t="n">
        <v>31.29</v>
      </c>
      <c r="K318" s="24" t="n">
        <f aca="false">K317+J318</f>
        <v>9777.48</v>
      </c>
      <c r="L318" s="24" t="n">
        <f aca="false">Well_Data!$B$10-K318</f>
        <v>2722.52</v>
      </c>
      <c r="M318" s="24" t="n">
        <f aca="false">Well_Data!$B$10-K318+J318</f>
        <v>2753.81</v>
      </c>
      <c r="N318" s="25" t="n">
        <f aca="false">G318^2/1029.4</f>
        <v>0.0177619739654167</v>
      </c>
      <c r="O318" s="26" t="n">
        <f aca="false">N318*J318</f>
        <v>0.55577216537789</v>
      </c>
      <c r="P318" s="25" t="n">
        <f aca="false">(F318^2-G318^2)/1029.4</f>
        <v>0.00652401787449</v>
      </c>
      <c r="Q318" s="26" t="n">
        <f aca="false">P318*J318</f>
        <v>0.204136519292792</v>
      </c>
    </row>
    <row r="319" customFormat="false" ht="15" hidden="false" customHeight="true" outlineLevel="0" collapsed="false">
      <c r="A319" s="22" t="n">
        <v>318</v>
      </c>
      <c r="B319" s="22" t="n">
        <v>311</v>
      </c>
      <c r="C319" s="22" t="n">
        <v>93</v>
      </c>
      <c r="D319" s="22" t="s">
        <v>178</v>
      </c>
      <c r="E319" s="22" t="s">
        <v>179</v>
      </c>
      <c r="F319" s="23" t="n">
        <v>5</v>
      </c>
      <c r="G319" s="23" t="n">
        <v>4.276</v>
      </c>
      <c r="H319" s="20" t="n">
        <v>19.5</v>
      </c>
      <c r="I319" s="22" t="s">
        <v>180</v>
      </c>
      <c r="J319" s="20" t="n">
        <v>31.68</v>
      </c>
      <c r="K319" s="24" t="n">
        <f aca="false">K318+J319</f>
        <v>9809.16</v>
      </c>
      <c r="L319" s="24" t="n">
        <f aca="false">Well_Data!$B$10-K319</f>
        <v>2690.84</v>
      </c>
      <c r="M319" s="24" t="n">
        <f aca="false">Well_Data!$B$10-K319+J319</f>
        <v>2722.52</v>
      </c>
      <c r="N319" s="25" t="n">
        <f aca="false">G319^2/1029.4</f>
        <v>0.0177619739654167</v>
      </c>
      <c r="O319" s="26" t="n">
        <f aca="false">N319*J319</f>
        <v>0.562699335224402</v>
      </c>
      <c r="P319" s="25" t="n">
        <f aca="false">(F319^2-G319^2)/1029.4</f>
        <v>0.00652401787449</v>
      </c>
      <c r="Q319" s="26" t="n">
        <f aca="false">P319*J319</f>
        <v>0.206680886263843</v>
      </c>
    </row>
    <row r="320" customFormat="false" ht="15" hidden="false" customHeight="true" outlineLevel="0" collapsed="false">
      <c r="A320" s="22" t="n">
        <v>319</v>
      </c>
      <c r="B320" s="22" t="n">
        <v>312</v>
      </c>
      <c r="C320" s="22" t="n">
        <v>93</v>
      </c>
      <c r="D320" s="22" t="s">
        <v>178</v>
      </c>
      <c r="E320" s="22" t="s">
        <v>179</v>
      </c>
      <c r="F320" s="23" t="n">
        <v>5</v>
      </c>
      <c r="G320" s="23" t="n">
        <v>4.276</v>
      </c>
      <c r="H320" s="20" t="n">
        <v>19.5</v>
      </c>
      <c r="I320" s="22" t="s">
        <v>180</v>
      </c>
      <c r="J320" s="20" t="n">
        <v>31.03</v>
      </c>
      <c r="K320" s="24" t="n">
        <f aca="false">K319+J320</f>
        <v>9840.19</v>
      </c>
      <c r="L320" s="24" t="n">
        <f aca="false">Well_Data!$B$10-K320</f>
        <v>2659.81</v>
      </c>
      <c r="M320" s="24" t="n">
        <f aca="false">Well_Data!$B$10-K320+J320</f>
        <v>2690.84</v>
      </c>
      <c r="N320" s="25" t="n">
        <f aca="false">G320^2/1029.4</f>
        <v>0.0177619739654167</v>
      </c>
      <c r="O320" s="26" t="n">
        <f aca="false">N320*J320</f>
        <v>0.551154052146882</v>
      </c>
      <c r="P320" s="25" t="n">
        <f aca="false">(F320^2-G320^2)/1029.4</f>
        <v>0.00652401787449</v>
      </c>
      <c r="Q320" s="26" t="n">
        <f aca="false">P320*J320</f>
        <v>0.202440274645425</v>
      </c>
    </row>
    <row r="321" customFormat="false" ht="15" hidden="false" customHeight="true" outlineLevel="0" collapsed="false">
      <c r="A321" s="22" t="n">
        <v>320</v>
      </c>
      <c r="B321" s="22" t="n">
        <v>313</v>
      </c>
      <c r="C321" s="22" t="n">
        <v>94</v>
      </c>
      <c r="D321" s="22" t="s">
        <v>178</v>
      </c>
      <c r="E321" s="22" t="s">
        <v>179</v>
      </c>
      <c r="F321" s="23" t="n">
        <v>5</v>
      </c>
      <c r="G321" s="23" t="n">
        <v>4.276</v>
      </c>
      <c r="H321" s="20" t="n">
        <v>19.5</v>
      </c>
      <c r="I321" s="22" t="s">
        <v>180</v>
      </c>
      <c r="J321" s="20" t="n">
        <v>30.69</v>
      </c>
      <c r="K321" s="24" t="n">
        <f aca="false">K320+J321</f>
        <v>9870.88</v>
      </c>
      <c r="L321" s="24" t="n">
        <f aca="false">Well_Data!$B$10-K321</f>
        <v>2629.12</v>
      </c>
      <c r="M321" s="24" t="n">
        <f aca="false">Well_Data!$B$10-K321+J321</f>
        <v>2659.81</v>
      </c>
      <c r="N321" s="25" t="n">
        <f aca="false">G321^2/1029.4</f>
        <v>0.0177619739654167</v>
      </c>
      <c r="O321" s="26" t="n">
        <f aca="false">N321*J321</f>
        <v>0.54511498099864</v>
      </c>
      <c r="P321" s="25" t="n">
        <f aca="false">(F321^2-G321^2)/1029.4</f>
        <v>0.00652401787449</v>
      </c>
      <c r="Q321" s="26" t="n">
        <f aca="false">P321*J321</f>
        <v>0.200222108568098</v>
      </c>
    </row>
    <row r="322" customFormat="false" ht="15" hidden="false" customHeight="true" outlineLevel="0" collapsed="false">
      <c r="A322" s="22" t="n">
        <v>321</v>
      </c>
      <c r="B322" s="22" t="n">
        <v>314</v>
      </c>
      <c r="C322" s="22" t="n">
        <v>94</v>
      </c>
      <c r="D322" s="22" t="s">
        <v>178</v>
      </c>
      <c r="E322" s="22" t="s">
        <v>179</v>
      </c>
      <c r="F322" s="23" t="n">
        <v>5</v>
      </c>
      <c r="G322" s="23" t="n">
        <v>4.276</v>
      </c>
      <c r="H322" s="20" t="n">
        <v>19.5</v>
      </c>
      <c r="I322" s="22" t="s">
        <v>180</v>
      </c>
      <c r="J322" s="20" t="n">
        <v>31.28</v>
      </c>
      <c r="K322" s="24" t="n">
        <f aca="false">K321+J322</f>
        <v>9902.16</v>
      </c>
      <c r="L322" s="24" t="n">
        <f aca="false">Well_Data!$B$10-K322</f>
        <v>2597.84</v>
      </c>
      <c r="M322" s="24" t="n">
        <f aca="false">Well_Data!$B$10-K322+J322</f>
        <v>2629.12</v>
      </c>
      <c r="N322" s="25" t="n">
        <f aca="false">G322^2/1029.4</f>
        <v>0.0177619739654167</v>
      </c>
      <c r="O322" s="26" t="n">
        <f aca="false">N322*J322</f>
        <v>0.555594545638236</v>
      </c>
      <c r="P322" s="25" t="n">
        <f aca="false">(F322^2-G322^2)/1029.4</f>
        <v>0.00652401787449</v>
      </c>
      <c r="Q322" s="26" t="n">
        <f aca="false">P322*J322</f>
        <v>0.204071279114047</v>
      </c>
    </row>
    <row r="323" customFormat="false" ht="15" hidden="false" customHeight="true" outlineLevel="0" collapsed="false">
      <c r="A323" s="22" t="n">
        <v>322</v>
      </c>
      <c r="B323" s="22" t="n">
        <v>315</v>
      </c>
      <c r="C323" s="22" t="n">
        <v>94</v>
      </c>
      <c r="D323" s="22" t="s">
        <v>178</v>
      </c>
      <c r="E323" s="22" t="s">
        <v>179</v>
      </c>
      <c r="F323" s="23" t="n">
        <v>5</v>
      </c>
      <c r="G323" s="23" t="n">
        <v>4.276</v>
      </c>
      <c r="H323" s="20" t="n">
        <v>19.5</v>
      </c>
      <c r="I323" s="22" t="s">
        <v>180</v>
      </c>
      <c r="J323" s="20" t="n">
        <v>30.78</v>
      </c>
      <c r="K323" s="24" t="n">
        <f aca="false">K322+J323</f>
        <v>9932.94</v>
      </c>
      <c r="L323" s="24" t="n">
        <f aca="false">Well_Data!$B$10-K323</f>
        <v>2567.06</v>
      </c>
      <c r="M323" s="24" t="n">
        <f aca="false">Well_Data!$B$10-K323+J323</f>
        <v>2597.84</v>
      </c>
      <c r="N323" s="25" t="n">
        <f aca="false">G323^2/1029.4</f>
        <v>0.0177619739654167</v>
      </c>
      <c r="O323" s="26" t="n">
        <f aca="false">N323*J323</f>
        <v>0.546713558655527</v>
      </c>
      <c r="P323" s="25" t="n">
        <f aca="false">(F323^2-G323^2)/1029.4</f>
        <v>0.00652401787449</v>
      </c>
      <c r="Q323" s="26" t="n">
        <f aca="false">P323*J323</f>
        <v>0.200809270176802</v>
      </c>
    </row>
    <row r="324" customFormat="false" ht="15" hidden="false" customHeight="true" outlineLevel="0" collapsed="false">
      <c r="A324" s="22" t="n">
        <v>323</v>
      </c>
      <c r="B324" s="22" t="n">
        <v>316</v>
      </c>
      <c r="C324" s="22" t="n">
        <v>95</v>
      </c>
      <c r="D324" s="22" t="s">
        <v>178</v>
      </c>
      <c r="E324" s="22" t="s">
        <v>179</v>
      </c>
      <c r="F324" s="23" t="n">
        <v>5</v>
      </c>
      <c r="G324" s="23" t="n">
        <v>4.276</v>
      </c>
      <c r="H324" s="20" t="n">
        <v>19.5</v>
      </c>
      <c r="I324" s="22" t="s">
        <v>180</v>
      </c>
      <c r="J324" s="20" t="n">
        <v>31.37</v>
      </c>
      <c r="K324" s="24" t="n">
        <f aca="false">K323+J324</f>
        <v>9964.31</v>
      </c>
      <c r="L324" s="24" t="n">
        <f aca="false">Well_Data!$B$10-K324</f>
        <v>2535.69</v>
      </c>
      <c r="M324" s="24" t="n">
        <f aca="false">Well_Data!$B$10-K324+J324</f>
        <v>2567.06</v>
      </c>
      <c r="N324" s="25" t="n">
        <f aca="false">G324^2/1029.4</f>
        <v>0.0177619739654167</v>
      </c>
      <c r="O324" s="26" t="n">
        <f aca="false">N324*J324</f>
        <v>0.557193123295123</v>
      </c>
      <c r="P324" s="25" t="n">
        <f aca="false">(F324^2-G324^2)/1029.4</f>
        <v>0.00652401787449</v>
      </c>
      <c r="Q324" s="26" t="n">
        <f aca="false">P324*J324</f>
        <v>0.204658440722751</v>
      </c>
    </row>
    <row r="325" customFormat="false" ht="15" hidden="false" customHeight="true" outlineLevel="0" collapsed="false">
      <c r="A325" s="22" t="n">
        <v>324</v>
      </c>
      <c r="B325" s="22" t="n">
        <v>317</v>
      </c>
      <c r="C325" s="22" t="n">
        <v>95</v>
      </c>
      <c r="D325" s="22" t="s">
        <v>178</v>
      </c>
      <c r="E325" s="22" t="s">
        <v>179</v>
      </c>
      <c r="F325" s="23" t="n">
        <v>5</v>
      </c>
      <c r="G325" s="23" t="n">
        <v>4.276</v>
      </c>
      <c r="H325" s="20" t="n">
        <v>19.5</v>
      </c>
      <c r="I325" s="22" t="s">
        <v>180</v>
      </c>
      <c r="J325" s="20" t="n">
        <v>31.35</v>
      </c>
      <c r="K325" s="24" t="n">
        <f aca="false">K324+J325</f>
        <v>9995.66</v>
      </c>
      <c r="L325" s="24" t="n">
        <f aca="false">Well_Data!$B$10-K325</f>
        <v>2504.34</v>
      </c>
      <c r="M325" s="24" t="n">
        <f aca="false">Well_Data!$B$10-K325+J325</f>
        <v>2535.69</v>
      </c>
      <c r="N325" s="25" t="n">
        <f aca="false">G325^2/1029.4</f>
        <v>0.0177619739654167</v>
      </c>
      <c r="O325" s="26" t="n">
        <f aca="false">N325*J325</f>
        <v>0.556837883815815</v>
      </c>
      <c r="P325" s="25" t="n">
        <f aca="false">(F325^2-G325^2)/1029.4</f>
        <v>0.00652401787449</v>
      </c>
      <c r="Q325" s="26" t="n">
        <f aca="false">P325*J325</f>
        <v>0.204527960365261</v>
      </c>
    </row>
    <row r="326" customFormat="false" ht="15" hidden="false" customHeight="true" outlineLevel="0" collapsed="false">
      <c r="A326" s="22" t="n">
        <v>325</v>
      </c>
      <c r="B326" s="22" t="n">
        <v>318</v>
      </c>
      <c r="C326" s="22" t="n">
        <v>95</v>
      </c>
      <c r="D326" s="22" t="s">
        <v>178</v>
      </c>
      <c r="E326" s="22" t="s">
        <v>179</v>
      </c>
      <c r="F326" s="23" t="n">
        <v>5</v>
      </c>
      <c r="G326" s="23" t="n">
        <v>4.276</v>
      </c>
      <c r="H326" s="20" t="n">
        <v>19.5</v>
      </c>
      <c r="I326" s="22" t="s">
        <v>180</v>
      </c>
      <c r="J326" s="20" t="n">
        <v>30.88</v>
      </c>
      <c r="K326" s="24" t="n">
        <f aca="false">K325+J326</f>
        <v>10026.54</v>
      </c>
      <c r="L326" s="24" t="n">
        <f aca="false">Well_Data!$B$10-K326</f>
        <v>2473.46</v>
      </c>
      <c r="M326" s="24" t="n">
        <f aca="false">Well_Data!$B$10-K326+J326</f>
        <v>2504.34</v>
      </c>
      <c r="N326" s="25" t="n">
        <f aca="false">G326^2/1029.4</f>
        <v>0.0177619739654167</v>
      </c>
      <c r="O326" s="26" t="n">
        <f aca="false">N326*J326</f>
        <v>0.548489756052069</v>
      </c>
      <c r="P326" s="25" t="n">
        <f aca="false">(F326^2-G326^2)/1029.4</f>
        <v>0.00652401787449</v>
      </c>
      <c r="Q326" s="26" t="n">
        <f aca="false">P326*J326</f>
        <v>0.201461671964251</v>
      </c>
    </row>
    <row r="327" customFormat="false" ht="15" hidden="false" customHeight="true" outlineLevel="0" collapsed="false">
      <c r="A327" s="22" t="n">
        <v>326</v>
      </c>
      <c r="B327" s="22" t="n">
        <v>319</v>
      </c>
      <c r="C327" s="22" t="n">
        <v>96</v>
      </c>
      <c r="D327" s="22" t="s">
        <v>178</v>
      </c>
      <c r="E327" s="22" t="s">
        <v>179</v>
      </c>
      <c r="F327" s="23" t="n">
        <v>5</v>
      </c>
      <c r="G327" s="23" t="n">
        <v>4.276</v>
      </c>
      <c r="H327" s="20" t="n">
        <v>19.5</v>
      </c>
      <c r="I327" s="22" t="s">
        <v>180</v>
      </c>
      <c r="J327" s="20" t="n">
        <v>31.24</v>
      </c>
      <c r="K327" s="24" t="n">
        <f aca="false">K326+J327</f>
        <v>10057.78</v>
      </c>
      <c r="L327" s="24" t="n">
        <f aca="false">Well_Data!$B$10-K327</f>
        <v>2442.22</v>
      </c>
      <c r="M327" s="24" t="n">
        <f aca="false">Well_Data!$B$10-K327+J327</f>
        <v>2473.46</v>
      </c>
      <c r="N327" s="25" t="n">
        <f aca="false">G327^2/1029.4</f>
        <v>0.0177619739654167</v>
      </c>
      <c r="O327" s="26" t="n">
        <f aca="false">N327*J327</f>
        <v>0.554884066679619</v>
      </c>
      <c r="P327" s="25" t="n">
        <f aca="false">(F327^2-G327^2)/1029.4</f>
        <v>0.00652401787449</v>
      </c>
      <c r="Q327" s="26" t="n">
        <f aca="false">P327*J327</f>
        <v>0.203810318399067</v>
      </c>
    </row>
    <row r="328" customFormat="false" ht="15" hidden="false" customHeight="true" outlineLevel="0" collapsed="false">
      <c r="A328" s="22" t="n">
        <v>327</v>
      </c>
      <c r="B328" s="22" t="n">
        <v>320</v>
      </c>
      <c r="C328" s="22" t="n">
        <v>96</v>
      </c>
      <c r="D328" s="22" t="s">
        <v>178</v>
      </c>
      <c r="E328" s="22" t="s">
        <v>179</v>
      </c>
      <c r="F328" s="23" t="n">
        <v>5</v>
      </c>
      <c r="G328" s="23" t="n">
        <v>4.276</v>
      </c>
      <c r="H328" s="20" t="n">
        <v>19.5</v>
      </c>
      <c r="I328" s="22" t="s">
        <v>180</v>
      </c>
      <c r="J328" s="20" t="n">
        <v>31.54</v>
      </c>
      <c r="K328" s="24" t="n">
        <f aca="false">K327+J328</f>
        <v>10089.32</v>
      </c>
      <c r="L328" s="24" t="n">
        <f aca="false">Well_Data!$B$10-K328</f>
        <v>2410.68</v>
      </c>
      <c r="M328" s="24" t="n">
        <f aca="false">Well_Data!$B$10-K328+J328</f>
        <v>2442.22</v>
      </c>
      <c r="N328" s="25" t="n">
        <f aca="false">G328^2/1029.4</f>
        <v>0.0177619739654167</v>
      </c>
      <c r="O328" s="26" t="n">
        <f aca="false">N328*J328</f>
        <v>0.560212658869244</v>
      </c>
      <c r="P328" s="25" t="n">
        <f aca="false">(F328^2-G328^2)/1029.4</f>
        <v>0.00652401787449</v>
      </c>
      <c r="Q328" s="26" t="n">
        <f aca="false">P328*J328</f>
        <v>0.205767523761414</v>
      </c>
    </row>
    <row r="329" customFormat="false" ht="15" hidden="false" customHeight="true" outlineLevel="0" collapsed="false">
      <c r="A329" s="22" t="n">
        <v>328</v>
      </c>
      <c r="B329" s="22" t="n">
        <v>321</v>
      </c>
      <c r="C329" s="22" t="n">
        <v>96</v>
      </c>
      <c r="D329" s="22" t="s">
        <v>178</v>
      </c>
      <c r="E329" s="22" t="s">
        <v>179</v>
      </c>
      <c r="F329" s="23" t="n">
        <v>5</v>
      </c>
      <c r="G329" s="23" t="n">
        <v>4.276</v>
      </c>
      <c r="H329" s="20" t="n">
        <v>19.5</v>
      </c>
      <c r="I329" s="22" t="s">
        <v>180</v>
      </c>
      <c r="J329" s="20" t="n">
        <v>31.42</v>
      </c>
      <c r="K329" s="24" t="n">
        <f aca="false">K328+J329</f>
        <v>10120.74</v>
      </c>
      <c r="L329" s="24" t="n">
        <f aca="false">Well_Data!$B$10-K329</f>
        <v>2379.26</v>
      </c>
      <c r="M329" s="24" t="n">
        <f aca="false">Well_Data!$B$10-K329+J329</f>
        <v>2410.68</v>
      </c>
      <c r="N329" s="25" t="n">
        <f aca="false">G329^2/1029.4</f>
        <v>0.0177619739654167</v>
      </c>
      <c r="O329" s="26" t="n">
        <f aca="false">N329*J329</f>
        <v>0.558081221993394</v>
      </c>
      <c r="P329" s="25" t="n">
        <f aca="false">(F329^2-G329^2)/1029.4</f>
        <v>0.00652401787449</v>
      </c>
      <c r="Q329" s="26" t="n">
        <f aca="false">P329*J329</f>
        <v>0.204984641616476</v>
      </c>
    </row>
    <row r="330" customFormat="false" ht="15" hidden="false" customHeight="true" outlineLevel="0" collapsed="false">
      <c r="A330" s="22" t="n">
        <v>329</v>
      </c>
      <c r="B330" s="22" t="n">
        <v>322</v>
      </c>
      <c r="C330" s="22" t="n">
        <v>97</v>
      </c>
      <c r="D330" s="22" t="s">
        <v>178</v>
      </c>
      <c r="E330" s="22" t="s">
        <v>179</v>
      </c>
      <c r="F330" s="23" t="n">
        <v>5</v>
      </c>
      <c r="G330" s="23" t="n">
        <v>4.276</v>
      </c>
      <c r="H330" s="20" t="n">
        <v>19.5</v>
      </c>
      <c r="I330" s="22" t="s">
        <v>180</v>
      </c>
      <c r="J330" s="20" t="n">
        <v>31.19</v>
      </c>
      <c r="K330" s="24" t="n">
        <f aca="false">K329+J330</f>
        <v>10151.93</v>
      </c>
      <c r="L330" s="24" t="n">
        <f aca="false">Well_Data!$B$10-K330</f>
        <v>2348.07</v>
      </c>
      <c r="M330" s="24" t="n">
        <f aca="false">Well_Data!$B$10-K330+J330</f>
        <v>2379.26</v>
      </c>
      <c r="N330" s="25" t="n">
        <f aca="false">G330^2/1029.4</f>
        <v>0.0177619739654167</v>
      </c>
      <c r="O330" s="26" t="n">
        <f aca="false">N330*J330</f>
        <v>0.553995967981348</v>
      </c>
      <c r="P330" s="25" t="n">
        <f aca="false">(F330^2-G330^2)/1029.4</f>
        <v>0.00652401787449</v>
      </c>
      <c r="Q330" s="26" t="n">
        <f aca="false">P330*J330</f>
        <v>0.203484117505343</v>
      </c>
    </row>
    <row r="331" customFormat="false" ht="15" hidden="false" customHeight="true" outlineLevel="0" collapsed="false">
      <c r="A331" s="22" t="n">
        <v>330</v>
      </c>
      <c r="B331" s="22" t="n">
        <v>323</v>
      </c>
      <c r="C331" s="22" t="n">
        <v>97</v>
      </c>
      <c r="D331" s="22" t="s">
        <v>178</v>
      </c>
      <c r="E331" s="22" t="s">
        <v>179</v>
      </c>
      <c r="F331" s="23" t="n">
        <v>5</v>
      </c>
      <c r="G331" s="23" t="n">
        <v>4.276</v>
      </c>
      <c r="H331" s="20" t="n">
        <v>19.5</v>
      </c>
      <c r="I331" s="22" t="s">
        <v>180</v>
      </c>
      <c r="J331" s="20" t="n">
        <v>31.21</v>
      </c>
      <c r="K331" s="24" t="n">
        <f aca="false">K330+J331</f>
        <v>10183.14</v>
      </c>
      <c r="L331" s="24" t="n">
        <f aca="false">Well_Data!$B$10-K331</f>
        <v>2316.86</v>
      </c>
      <c r="M331" s="24" t="n">
        <f aca="false">Well_Data!$B$10-K331+J331</f>
        <v>2348.07</v>
      </c>
      <c r="N331" s="25" t="n">
        <f aca="false">G331^2/1029.4</f>
        <v>0.0177619739654167</v>
      </c>
      <c r="O331" s="26" t="n">
        <f aca="false">N331*J331</f>
        <v>0.554351207460657</v>
      </c>
      <c r="P331" s="25" t="n">
        <f aca="false">(F331^2-G331^2)/1029.4</f>
        <v>0.00652401787449</v>
      </c>
      <c r="Q331" s="26" t="n">
        <f aca="false">P331*J331</f>
        <v>0.203614597862833</v>
      </c>
    </row>
    <row r="332" customFormat="false" ht="15" hidden="false" customHeight="true" outlineLevel="0" collapsed="false">
      <c r="A332" s="22" t="n">
        <v>331</v>
      </c>
      <c r="B332" s="22" t="n">
        <v>324</v>
      </c>
      <c r="C332" s="22" t="n">
        <v>97</v>
      </c>
      <c r="D332" s="22" t="s">
        <v>178</v>
      </c>
      <c r="E332" s="22" t="s">
        <v>179</v>
      </c>
      <c r="F332" s="23" t="n">
        <v>5</v>
      </c>
      <c r="G332" s="23" t="n">
        <v>4.276</v>
      </c>
      <c r="H332" s="20" t="n">
        <v>19.5</v>
      </c>
      <c r="I332" s="22" t="s">
        <v>180</v>
      </c>
      <c r="J332" s="20" t="n">
        <v>31.35</v>
      </c>
      <c r="K332" s="24" t="n">
        <f aca="false">K331+J332</f>
        <v>10214.49</v>
      </c>
      <c r="L332" s="24" t="n">
        <f aca="false">Well_Data!$B$10-K332</f>
        <v>2285.51</v>
      </c>
      <c r="M332" s="24" t="n">
        <f aca="false">Well_Data!$B$10-K332+J332</f>
        <v>2316.86</v>
      </c>
      <c r="N332" s="25" t="n">
        <f aca="false">G332^2/1029.4</f>
        <v>0.0177619739654167</v>
      </c>
      <c r="O332" s="26" t="n">
        <f aca="false">N332*J332</f>
        <v>0.556837883815815</v>
      </c>
      <c r="P332" s="25" t="n">
        <f aca="false">(F332^2-G332^2)/1029.4</f>
        <v>0.00652401787449</v>
      </c>
      <c r="Q332" s="26" t="n">
        <f aca="false">P332*J332</f>
        <v>0.204527960365261</v>
      </c>
    </row>
    <row r="333" customFormat="false" ht="15" hidden="false" customHeight="true" outlineLevel="0" collapsed="false">
      <c r="A333" s="22" t="n">
        <v>332</v>
      </c>
      <c r="B333" s="22" t="n">
        <v>325</v>
      </c>
      <c r="C333" s="22" t="n">
        <v>98</v>
      </c>
      <c r="D333" s="22" t="s">
        <v>178</v>
      </c>
      <c r="E333" s="22" t="s">
        <v>179</v>
      </c>
      <c r="F333" s="23" t="n">
        <v>5</v>
      </c>
      <c r="G333" s="23" t="n">
        <v>4.276</v>
      </c>
      <c r="H333" s="20" t="n">
        <v>19.5</v>
      </c>
      <c r="I333" s="22" t="s">
        <v>180</v>
      </c>
      <c r="J333" s="20" t="n">
        <v>31.27</v>
      </c>
      <c r="K333" s="24" t="n">
        <f aca="false">K332+J333</f>
        <v>10245.76</v>
      </c>
      <c r="L333" s="24" t="n">
        <f aca="false">Well_Data!$B$10-K333</f>
        <v>2254.24</v>
      </c>
      <c r="M333" s="24" t="n">
        <f aca="false">Well_Data!$B$10-K333+J333</f>
        <v>2285.51</v>
      </c>
      <c r="N333" s="25" t="n">
        <f aca="false">G333^2/1029.4</f>
        <v>0.0177619739654167</v>
      </c>
      <c r="O333" s="26" t="n">
        <f aca="false">N333*J333</f>
        <v>0.555416925898582</v>
      </c>
      <c r="P333" s="25" t="n">
        <f aca="false">(F333^2-G333^2)/1029.4</f>
        <v>0.00652401787449</v>
      </c>
      <c r="Q333" s="26" t="n">
        <f aca="false">P333*J333</f>
        <v>0.204006038935302</v>
      </c>
    </row>
    <row r="334" customFormat="false" ht="15" hidden="false" customHeight="true" outlineLevel="0" collapsed="false">
      <c r="A334" s="22" t="n">
        <v>333</v>
      </c>
      <c r="B334" s="22" t="n">
        <v>326</v>
      </c>
      <c r="C334" s="22" t="n">
        <v>98</v>
      </c>
      <c r="D334" s="22" t="s">
        <v>178</v>
      </c>
      <c r="E334" s="22" t="s">
        <v>179</v>
      </c>
      <c r="F334" s="23" t="n">
        <v>5</v>
      </c>
      <c r="G334" s="23" t="n">
        <v>4.276</v>
      </c>
      <c r="H334" s="20" t="n">
        <v>19.5</v>
      </c>
      <c r="I334" s="22" t="s">
        <v>180</v>
      </c>
      <c r="J334" s="20" t="n">
        <v>31.09</v>
      </c>
      <c r="K334" s="24" t="n">
        <f aca="false">K333+J334</f>
        <v>10276.85</v>
      </c>
      <c r="L334" s="24" t="n">
        <f aca="false">Well_Data!$B$10-K334</f>
        <v>2223.15</v>
      </c>
      <c r="M334" s="24" t="n">
        <f aca="false">Well_Data!$B$10-K334+J334</f>
        <v>2254.24</v>
      </c>
      <c r="N334" s="25" t="n">
        <f aca="false">G334^2/1029.4</f>
        <v>0.0177619739654167</v>
      </c>
      <c r="O334" s="26" t="n">
        <f aca="false">N334*J334</f>
        <v>0.552219770584807</v>
      </c>
      <c r="P334" s="25" t="n">
        <f aca="false">(F334^2-G334^2)/1029.4</f>
        <v>0.00652401787449</v>
      </c>
      <c r="Q334" s="26" t="n">
        <f aca="false">P334*J334</f>
        <v>0.202831715717894</v>
      </c>
    </row>
    <row r="335" customFormat="false" ht="15" hidden="false" customHeight="true" outlineLevel="0" collapsed="false">
      <c r="A335" s="22" t="n">
        <v>334</v>
      </c>
      <c r="B335" s="22" t="n">
        <v>327</v>
      </c>
      <c r="C335" s="22" t="n">
        <v>98</v>
      </c>
      <c r="D335" s="22" t="s">
        <v>178</v>
      </c>
      <c r="E335" s="22" t="s">
        <v>179</v>
      </c>
      <c r="F335" s="23" t="n">
        <v>5</v>
      </c>
      <c r="G335" s="23" t="n">
        <v>4.276</v>
      </c>
      <c r="H335" s="20" t="n">
        <v>19.5</v>
      </c>
      <c r="I335" s="22" t="s">
        <v>180</v>
      </c>
      <c r="J335" s="20" t="n">
        <v>31.44</v>
      </c>
      <c r="K335" s="24" t="n">
        <f aca="false">K334+J335</f>
        <v>10308.29</v>
      </c>
      <c r="L335" s="24" t="n">
        <f aca="false">Well_Data!$B$10-K335</f>
        <v>2191.71</v>
      </c>
      <c r="M335" s="24" t="n">
        <f aca="false">Well_Data!$B$10-K335+J335</f>
        <v>2223.15</v>
      </c>
      <c r="N335" s="25" t="n">
        <f aca="false">G335^2/1029.4</f>
        <v>0.0177619739654167</v>
      </c>
      <c r="O335" s="26" t="n">
        <f aca="false">N335*J335</f>
        <v>0.558436461472702</v>
      </c>
      <c r="P335" s="25" t="n">
        <f aca="false">(F335^2-G335^2)/1029.4</f>
        <v>0.00652401787449</v>
      </c>
      <c r="Q335" s="26" t="n">
        <f aca="false">P335*J335</f>
        <v>0.205115121973965</v>
      </c>
    </row>
    <row r="336" customFormat="false" ht="15" hidden="false" customHeight="true" outlineLevel="0" collapsed="false">
      <c r="A336" s="22" t="n">
        <v>335</v>
      </c>
      <c r="B336" s="22" t="n">
        <v>328</v>
      </c>
      <c r="C336" s="22" t="n">
        <v>99</v>
      </c>
      <c r="D336" s="22" t="s">
        <v>178</v>
      </c>
      <c r="E336" s="22" t="s">
        <v>179</v>
      </c>
      <c r="F336" s="23" t="n">
        <v>5</v>
      </c>
      <c r="G336" s="23" t="n">
        <v>4.276</v>
      </c>
      <c r="H336" s="20" t="n">
        <v>19.5</v>
      </c>
      <c r="I336" s="22" t="s">
        <v>180</v>
      </c>
      <c r="J336" s="20" t="n">
        <v>31.23</v>
      </c>
      <c r="K336" s="24" t="n">
        <f aca="false">K335+J336</f>
        <v>10339.52</v>
      </c>
      <c r="L336" s="24" t="n">
        <f aca="false">Well_Data!$B$10-K336</f>
        <v>2160.48</v>
      </c>
      <c r="M336" s="24" t="n">
        <f aca="false">Well_Data!$B$10-K336+J336</f>
        <v>2191.71</v>
      </c>
      <c r="N336" s="25" t="n">
        <f aca="false">G336^2/1029.4</f>
        <v>0.0177619739654167</v>
      </c>
      <c r="O336" s="26" t="n">
        <f aca="false">N336*J336</f>
        <v>0.554706446939965</v>
      </c>
      <c r="P336" s="25" t="n">
        <f aca="false">(F336^2-G336^2)/1029.4</f>
        <v>0.00652401787449</v>
      </c>
      <c r="Q336" s="26" t="n">
        <f aca="false">P336*J336</f>
        <v>0.203745078220323</v>
      </c>
    </row>
    <row r="337" customFormat="false" ht="15" hidden="false" customHeight="true" outlineLevel="0" collapsed="false">
      <c r="A337" s="22" t="n">
        <v>336</v>
      </c>
      <c r="B337" s="22" t="n">
        <v>329</v>
      </c>
      <c r="C337" s="22" t="n">
        <v>99</v>
      </c>
      <c r="D337" s="22" t="s">
        <v>178</v>
      </c>
      <c r="E337" s="22" t="s">
        <v>179</v>
      </c>
      <c r="F337" s="23" t="n">
        <v>5</v>
      </c>
      <c r="G337" s="23" t="n">
        <v>4.276</v>
      </c>
      <c r="H337" s="20" t="n">
        <v>19.5</v>
      </c>
      <c r="I337" s="22" t="s">
        <v>180</v>
      </c>
      <c r="J337" s="20" t="n">
        <v>31.14</v>
      </c>
      <c r="K337" s="24" t="n">
        <f aca="false">K336+J337</f>
        <v>10370.66</v>
      </c>
      <c r="L337" s="24" t="n">
        <f aca="false">Well_Data!$B$10-K337</f>
        <v>2129.34</v>
      </c>
      <c r="M337" s="24" t="n">
        <f aca="false">Well_Data!$B$10-K337+J337</f>
        <v>2160.48</v>
      </c>
      <c r="N337" s="25" t="n">
        <f aca="false">G337^2/1029.4</f>
        <v>0.0177619739654167</v>
      </c>
      <c r="O337" s="26" t="n">
        <f aca="false">N337*J337</f>
        <v>0.553107869283077</v>
      </c>
      <c r="P337" s="25" t="n">
        <f aca="false">(F337^2-G337^2)/1029.4</f>
        <v>0.00652401787449</v>
      </c>
      <c r="Q337" s="26" t="n">
        <f aca="false">P337*J337</f>
        <v>0.203157916611618</v>
      </c>
    </row>
    <row r="338" customFormat="false" ht="15" hidden="false" customHeight="true" outlineLevel="0" collapsed="false">
      <c r="A338" s="22" t="n">
        <v>337</v>
      </c>
      <c r="B338" s="22" t="n">
        <v>330</v>
      </c>
      <c r="C338" s="22" t="n">
        <v>99</v>
      </c>
      <c r="D338" s="22" t="s">
        <v>178</v>
      </c>
      <c r="E338" s="22" t="s">
        <v>179</v>
      </c>
      <c r="F338" s="23" t="n">
        <v>5</v>
      </c>
      <c r="G338" s="23" t="n">
        <v>4.276</v>
      </c>
      <c r="H338" s="20" t="n">
        <v>19.5</v>
      </c>
      <c r="I338" s="22" t="s">
        <v>180</v>
      </c>
      <c r="J338" s="20" t="n">
        <v>31.6</v>
      </c>
      <c r="K338" s="24" t="n">
        <f aca="false">K337+J338</f>
        <v>10402.26</v>
      </c>
      <c r="L338" s="24" t="n">
        <f aca="false">Well_Data!$B$10-K338</f>
        <v>2097.74</v>
      </c>
      <c r="M338" s="24" t="n">
        <f aca="false">Well_Data!$B$10-K338+J338</f>
        <v>2129.34</v>
      </c>
      <c r="N338" s="25" t="n">
        <f aca="false">G338^2/1029.4</f>
        <v>0.0177619739654167</v>
      </c>
      <c r="O338" s="26" t="n">
        <f aca="false">N338*J338</f>
        <v>0.561278377307169</v>
      </c>
      <c r="P338" s="25" t="n">
        <f aca="false">(F338^2-G338^2)/1029.4</f>
        <v>0.00652401787449</v>
      </c>
      <c r="Q338" s="26" t="n">
        <f aca="false">P338*J338</f>
        <v>0.206158964833884</v>
      </c>
    </row>
    <row r="339" customFormat="false" ht="15" hidden="false" customHeight="true" outlineLevel="0" collapsed="false">
      <c r="A339" s="22" t="n">
        <v>338</v>
      </c>
      <c r="B339" s="22" t="n">
        <v>331</v>
      </c>
      <c r="C339" s="22" t="n">
        <v>100</v>
      </c>
      <c r="D339" s="22" t="s">
        <v>178</v>
      </c>
      <c r="E339" s="22" t="s">
        <v>179</v>
      </c>
      <c r="F339" s="23" t="n">
        <v>5</v>
      </c>
      <c r="G339" s="23" t="n">
        <v>4.276</v>
      </c>
      <c r="H339" s="20" t="n">
        <v>19.5</v>
      </c>
      <c r="I339" s="22" t="s">
        <v>180</v>
      </c>
      <c r="J339" s="20" t="n">
        <v>31.18</v>
      </c>
      <c r="K339" s="24" t="n">
        <f aca="false">K338+J339</f>
        <v>10433.44</v>
      </c>
      <c r="L339" s="24" t="n">
        <f aca="false">Well_Data!$B$10-K339</f>
        <v>2066.56</v>
      </c>
      <c r="M339" s="24" t="n">
        <f aca="false">Well_Data!$B$10-K339+J339</f>
        <v>2097.74</v>
      </c>
      <c r="N339" s="25" t="n">
        <f aca="false">G339^2/1029.4</f>
        <v>0.0177619739654167</v>
      </c>
      <c r="O339" s="26" t="n">
        <f aca="false">N339*J339</f>
        <v>0.553818348241694</v>
      </c>
      <c r="P339" s="25" t="n">
        <f aca="false">(F339^2-G339^2)/1029.4</f>
        <v>0.00652401787449</v>
      </c>
      <c r="Q339" s="26" t="n">
        <f aca="false">P339*J339</f>
        <v>0.203418877326598</v>
      </c>
    </row>
    <row r="340" customFormat="false" ht="15" hidden="false" customHeight="true" outlineLevel="0" collapsed="false">
      <c r="A340" s="22" t="n">
        <v>339</v>
      </c>
      <c r="B340" s="22" t="n">
        <v>332</v>
      </c>
      <c r="C340" s="22" t="n">
        <v>100</v>
      </c>
      <c r="D340" s="22" t="s">
        <v>178</v>
      </c>
      <c r="E340" s="22" t="s">
        <v>179</v>
      </c>
      <c r="F340" s="23" t="n">
        <v>5</v>
      </c>
      <c r="G340" s="23" t="n">
        <v>4.276</v>
      </c>
      <c r="H340" s="20" t="n">
        <v>19.5</v>
      </c>
      <c r="I340" s="22" t="s">
        <v>180</v>
      </c>
      <c r="J340" s="20" t="n">
        <v>31.35</v>
      </c>
      <c r="K340" s="24" t="n">
        <f aca="false">K339+J340</f>
        <v>10464.79</v>
      </c>
      <c r="L340" s="24" t="n">
        <f aca="false">Well_Data!$B$10-K340</f>
        <v>2035.21</v>
      </c>
      <c r="M340" s="24" t="n">
        <f aca="false">Well_Data!$B$10-K340+J340</f>
        <v>2066.56</v>
      </c>
      <c r="N340" s="25" t="n">
        <f aca="false">G340^2/1029.4</f>
        <v>0.0177619739654167</v>
      </c>
      <c r="O340" s="26" t="n">
        <f aca="false">N340*J340</f>
        <v>0.556837883815815</v>
      </c>
      <c r="P340" s="25" t="n">
        <f aca="false">(F340^2-G340^2)/1029.4</f>
        <v>0.00652401787449</v>
      </c>
      <c r="Q340" s="26" t="n">
        <f aca="false">P340*J340</f>
        <v>0.204527960365261</v>
      </c>
    </row>
    <row r="341" customFormat="false" ht="15" hidden="false" customHeight="true" outlineLevel="0" collapsed="false">
      <c r="A341" s="22" t="n">
        <v>340</v>
      </c>
      <c r="B341" s="22" t="n">
        <v>333</v>
      </c>
      <c r="C341" s="22" t="n">
        <v>100</v>
      </c>
      <c r="D341" s="22" t="s">
        <v>178</v>
      </c>
      <c r="E341" s="22" t="s">
        <v>179</v>
      </c>
      <c r="F341" s="23" t="n">
        <v>5</v>
      </c>
      <c r="G341" s="23" t="n">
        <v>4.276</v>
      </c>
      <c r="H341" s="20" t="n">
        <v>19.5</v>
      </c>
      <c r="I341" s="22" t="s">
        <v>180</v>
      </c>
      <c r="J341" s="20" t="n">
        <v>31.38</v>
      </c>
      <c r="K341" s="24" t="n">
        <f aca="false">K340+J341</f>
        <v>10496.17</v>
      </c>
      <c r="L341" s="24" t="n">
        <f aca="false">Well_Data!$B$10-K341</f>
        <v>2003.83</v>
      </c>
      <c r="M341" s="24" t="n">
        <f aca="false">Well_Data!$B$10-K341+J341</f>
        <v>2035.21</v>
      </c>
      <c r="N341" s="25" t="n">
        <f aca="false">G341^2/1029.4</f>
        <v>0.0177619739654167</v>
      </c>
      <c r="O341" s="26" t="n">
        <f aca="false">N341*J341</f>
        <v>0.557370743034777</v>
      </c>
      <c r="P341" s="25" t="n">
        <f aca="false">(F341^2-G341^2)/1029.4</f>
        <v>0.00652401787449</v>
      </c>
      <c r="Q341" s="26" t="n">
        <f aca="false">P341*J341</f>
        <v>0.204723680901496</v>
      </c>
    </row>
    <row r="342" customFormat="false" ht="15" hidden="false" customHeight="true" outlineLevel="0" collapsed="false">
      <c r="A342" s="22" t="n">
        <v>341</v>
      </c>
      <c r="B342" s="22" t="n">
        <v>334</v>
      </c>
      <c r="C342" s="22" t="n">
        <v>101</v>
      </c>
      <c r="D342" s="22" t="s">
        <v>178</v>
      </c>
      <c r="E342" s="22" t="s">
        <v>179</v>
      </c>
      <c r="F342" s="23" t="n">
        <v>5</v>
      </c>
      <c r="G342" s="23" t="n">
        <v>4.276</v>
      </c>
      <c r="H342" s="20" t="n">
        <v>19.5</v>
      </c>
      <c r="I342" s="22" t="s">
        <v>180</v>
      </c>
      <c r="J342" s="20" t="n">
        <v>31.15</v>
      </c>
      <c r="K342" s="24" t="n">
        <f aca="false">K341+J342</f>
        <v>10527.32</v>
      </c>
      <c r="L342" s="24" t="n">
        <f aca="false">Well_Data!$B$10-K342</f>
        <v>1972.68</v>
      </c>
      <c r="M342" s="24" t="n">
        <f aca="false">Well_Data!$B$10-K342+J342</f>
        <v>2003.83</v>
      </c>
      <c r="N342" s="25" t="n">
        <f aca="false">G342^2/1029.4</f>
        <v>0.0177619739654167</v>
      </c>
      <c r="O342" s="26" t="n">
        <f aca="false">N342*J342</f>
        <v>0.553285489022732</v>
      </c>
      <c r="P342" s="25" t="n">
        <f aca="false">(F342^2-G342^2)/1029.4</f>
        <v>0.00652401787449</v>
      </c>
      <c r="Q342" s="26" t="n">
        <f aca="false">P342*J342</f>
        <v>0.203223156790363</v>
      </c>
    </row>
    <row r="343" customFormat="false" ht="15" hidden="false" customHeight="true" outlineLevel="0" collapsed="false">
      <c r="A343" s="22" t="n">
        <v>342</v>
      </c>
      <c r="B343" s="22" t="n">
        <v>335</v>
      </c>
      <c r="C343" s="22" t="n">
        <v>101</v>
      </c>
      <c r="D343" s="22" t="s">
        <v>178</v>
      </c>
      <c r="E343" s="22" t="s">
        <v>179</v>
      </c>
      <c r="F343" s="23" t="n">
        <v>5</v>
      </c>
      <c r="G343" s="23" t="n">
        <v>4.276</v>
      </c>
      <c r="H343" s="20" t="n">
        <v>19.5</v>
      </c>
      <c r="I343" s="22" t="s">
        <v>180</v>
      </c>
      <c r="J343" s="20" t="n">
        <v>31.28</v>
      </c>
      <c r="K343" s="24" t="n">
        <f aca="false">K342+J343</f>
        <v>10558.6</v>
      </c>
      <c r="L343" s="24" t="n">
        <f aca="false">Well_Data!$B$10-K343</f>
        <v>1941.4</v>
      </c>
      <c r="M343" s="24" t="n">
        <f aca="false">Well_Data!$B$10-K343+J343</f>
        <v>1972.68</v>
      </c>
      <c r="N343" s="25" t="n">
        <f aca="false">G343^2/1029.4</f>
        <v>0.0177619739654167</v>
      </c>
      <c r="O343" s="26" t="n">
        <f aca="false">N343*J343</f>
        <v>0.555594545638236</v>
      </c>
      <c r="P343" s="25" t="n">
        <f aca="false">(F343^2-G343^2)/1029.4</f>
        <v>0.00652401787449</v>
      </c>
      <c r="Q343" s="26" t="n">
        <f aca="false">P343*J343</f>
        <v>0.204071279114047</v>
      </c>
    </row>
    <row r="344" customFormat="false" ht="15" hidden="false" customHeight="true" outlineLevel="0" collapsed="false">
      <c r="A344" s="22" t="n">
        <v>343</v>
      </c>
      <c r="B344" s="22" t="n">
        <v>336</v>
      </c>
      <c r="C344" s="22" t="n">
        <v>101</v>
      </c>
      <c r="D344" s="22" t="s">
        <v>178</v>
      </c>
      <c r="E344" s="22" t="s">
        <v>179</v>
      </c>
      <c r="F344" s="23" t="n">
        <v>5</v>
      </c>
      <c r="G344" s="23" t="n">
        <v>4.276</v>
      </c>
      <c r="H344" s="20" t="n">
        <v>19.5</v>
      </c>
      <c r="I344" s="22" t="s">
        <v>180</v>
      </c>
      <c r="J344" s="20" t="n">
        <v>31.68</v>
      </c>
      <c r="K344" s="24" t="n">
        <f aca="false">K343+J344</f>
        <v>10590.28</v>
      </c>
      <c r="L344" s="24" t="n">
        <f aca="false">Well_Data!$B$10-K344</f>
        <v>1909.72</v>
      </c>
      <c r="M344" s="24" t="n">
        <f aca="false">Well_Data!$B$10-K344+J344</f>
        <v>1941.4</v>
      </c>
      <c r="N344" s="25" t="n">
        <f aca="false">G344^2/1029.4</f>
        <v>0.0177619739654167</v>
      </c>
      <c r="O344" s="26" t="n">
        <f aca="false">N344*J344</f>
        <v>0.562699335224402</v>
      </c>
      <c r="P344" s="25" t="n">
        <f aca="false">(F344^2-G344^2)/1029.4</f>
        <v>0.00652401787449</v>
      </c>
      <c r="Q344" s="26" t="n">
        <f aca="false">P344*J344</f>
        <v>0.206680886263843</v>
      </c>
    </row>
    <row r="345" customFormat="false" ht="15" hidden="false" customHeight="true" outlineLevel="0" collapsed="false">
      <c r="A345" s="22" t="n">
        <v>344</v>
      </c>
      <c r="B345" s="22" t="n">
        <v>337</v>
      </c>
      <c r="C345" s="22" t="n">
        <v>102</v>
      </c>
      <c r="D345" s="22" t="s">
        <v>178</v>
      </c>
      <c r="E345" s="22" t="s">
        <v>179</v>
      </c>
      <c r="F345" s="23" t="n">
        <v>5</v>
      </c>
      <c r="G345" s="23" t="n">
        <v>4.276</v>
      </c>
      <c r="H345" s="20" t="n">
        <v>19.5</v>
      </c>
      <c r="I345" s="22" t="s">
        <v>180</v>
      </c>
      <c r="J345" s="20" t="n">
        <v>31.26</v>
      </c>
      <c r="K345" s="24" t="n">
        <f aca="false">K344+J345</f>
        <v>10621.54</v>
      </c>
      <c r="L345" s="24" t="n">
        <f aca="false">Well_Data!$B$10-K345</f>
        <v>1878.46</v>
      </c>
      <c r="M345" s="24" t="n">
        <f aca="false">Well_Data!$B$10-K345+J345</f>
        <v>1909.72</v>
      </c>
      <c r="N345" s="25" t="n">
        <f aca="false">G345^2/1029.4</f>
        <v>0.0177619739654167</v>
      </c>
      <c r="O345" s="26" t="n">
        <f aca="false">N345*J345</f>
        <v>0.555239306158928</v>
      </c>
      <c r="P345" s="25" t="n">
        <f aca="false">(F345^2-G345^2)/1029.4</f>
        <v>0.00652401787449</v>
      </c>
      <c r="Q345" s="26" t="n">
        <f aca="false">P345*J345</f>
        <v>0.203940798756557</v>
      </c>
    </row>
    <row r="346" customFormat="false" ht="15" hidden="false" customHeight="true" outlineLevel="0" collapsed="false">
      <c r="A346" s="22" t="n">
        <v>345</v>
      </c>
      <c r="B346" s="22" t="n">
        <v>338</v>
      </c>
      <c r="C346" s="22" t="n">
        <v>102</v>
      </c>
      <c r="D346" s="22" t="s">
        <v>178</v>
      </c>
      <c r="E346" s="22" t="s">
        <v>179</v>
      </c>
      <c r="F346" s="23" t="n">
        <v>5</v>
      </c>
      <c r="G346" s="23" t="n">
        <v>4.276</v>
      </c>
      <c r="H346" s="20" t="n">
        <v>19.5</v>
      </c>
      <c r="I346" s="22" t="s">
        <v>180</v>
      </c>
      <c r="J346" s="20" t="n">
        <v>31.02</v>
      </c>
      <c r="K346" s="24" t="n">
        <f aca="false">K345+J346</f>
        <v>10652.56</v>
      </c>
      <c r="L346" s="24" t="n">
        <f aca="false">Well_Data!$B$10-K346</f>
        <v>1847.44</v>
      </c>
      <c r="M346" s="24" t="n">
        <f aca="false">Well_Data!$B$10-K346+J346</f>
        <v>1878.46</v>
      </c>
      <c r="N346" s="25" t="n">
        <f aca="false">G346^2/1029.4</f>
        <v>0.0177619739654167</v>
      </c>
      <c r="O346" s="26" t="n">
        <f aca="false">N346*J346</f>
        <v>0.550976432407227</v>
      </c>
      <c r="P346" s="25" t="n">
        <f aca="false">(F346^2-G346^2)/1029.4</f>
        <v>0.00652401787449</v>
      </c>
      <c r="Q346" s="26" t="n">
        <f aca="false">P346*J346</f>
        <v>0.20237503446668</v>
      </c>
    </row>
    <row r="347" customFormat="false" ht="15" hidden="false" customHeight="true" outlineLevel="0" collapsed="false">
      <c r="A347" s="22" t="n">
        <v>346</v>
      </c>
      <c r="B347" s="22" t="n">
        <v>339</v>
      </c>
      <c r="C347" s="22" t="n">
        <v>102</v>
      </c>
      <c r="D347" s="22" t="s">
        <v>178</v>
      </c>
      <c r="E347" s="22" t="s">
        <v>179</v>
      </c>
      <c r="F347" s="23" t="n">
        <v>5</v>
      </c>
      <c r="G347" s="23" t="n">
        <v>4.276</v>
      </c>
      <c r="H347" s="20" t="n">
        <v>19.5</v>
      </c>
      <c r="I347" s="22" t="s">
        <v>180</v>
      </c>
      <c r="J347" s="20" t="n">
        <v>31.74</v>
      </c>
      <c r="K347" s="24" t="n">
        <f aca="false">K346+J347</f>
        <v>10684.3</v>
      </c>
      <c r="L347" s="24" t="n">
        <f aca="false">Well_Data!$B$10-K347</f>
        <v>1815.7</v>
      </c>
      <c r="M347" s="24" t="n">
        <f aca="false">Well_Data!$B$10-K347+J347</f>
        <v>1847.44</v>
      </c>
      <c r="N347" s="25" t="n">
        <f aca="false">G347^2/1029.4</f>
        <v>0.0177619739654167</v>
      </c>
      <c r="O347" s="26" t="n">
        <f aca="false">N347*J347</f>
        <v>0.563765053662327</v>
      </c>
      <c r="P347" s="25" t="n">
        <f aca="false">(F347^2-G347^2)/1029.4</f>
        <v>0.00652401787449</v>
      </c>
      <c r="Q347" s="26" t="n">
        <f aca="false">P347*J347</f>
        <v>0.207072327336312</v>
      </c>
    </row>
    <row r="348" customFormat="false" ht="15" hidden="false" customHeight="true" outlineLevel="0" collapsed="false">
      <c r="A348" s="22" t="n">
        <v>347</v>
      </c>
      <c r="B348" s="22" t="n">
        <v>340</v>
      </c>
      <c r="C348" s="22" t="n">
        <v>103</v>
      </c>
      <c r="D348" s="22" t="s">
        <v>178</v>
      </c>
      <c r="E348" s="22" t="s">
        <v>179</v>
      </c>
      <c r="F348" s="23" t="n">
        <v>5</v>
      </c>
      <c r="G348" s="23" t="n">
        <v>4.276</v>
      </c>
      <c r="H348" s="20" t="n">
        <v>19.5</v>
      </c>
      <c r="I348" s="22" t="s">
        <v>180</v>
      </c>
      <c r="J348" s="20" t="n">
        <v>31.55</v>
      </c>
      <c r="K348" s="24" t="n">
        <f aca="false">K347+J348</f>
        <v>10715.85</v>
      </c>
      <c r="L348" s="24" t="n">
        <f aca="false">Well_Data!$B$10-K348</f>
        <v>1784.15</v>
      </c>
      <c r="M348" s="24" t="n">
        <f aca="false">Well_Data!$B$10-K348+J348</f>
        <v>1815.7</v>
      </c>
      <c r="N348" s="25" t="n">
        <f aca="false">G348^2/1029.4</f>
        <v>0.0177619739654167</v>
      </c>
      <c r="O348" s="26" t="n">
        <f aca="false">N348*J348</f>
        <v>0.560390278608898</v>
      </c>
      <c r="P348" s="25" t="n">
        <f aca="false">(F348^2-G348^2)/1029.4</f>
        <v>0.00652401787449</v>
      </c>
      <c r="Q348" s="26" t="n">
        <f aca="false">P348*J348</f>
        <v>0.205832763940159</v>
      </c>
    </row>
    <row r="349" customFormat="false" ht="15" hidden="false" customHeight="true" outlineLevel="0" collapsed="false">
      <c r="A349" s="22" t="n">
        <v>348</v>
      </c>
      <c r="B349" s="22" t="n">
        <v>341</v>
      </c>
      <c r="C349" s="22" t="n">
        <v>103</v>
      </c>
      <c r="D349" s="22" t="s">
        <v>178</v>
      </c>
      <c r="E349" s="22" t="s">
        <v>179</v>
      </c>
      <c r="F349" s="23" t="n">
        <v>5</v>
      </c>
      <c r="G349" s="23" t="n">
        <v>4.276</v>
      </c>
      <c r="H349" s="20" t="n">
        <v>19.5</v>
      </c>
      <c r="I349" s="22" t="s">
        <v>180</v>
      </c>
      <c r="J349" s="20" t="n">
        <v>31.21</v>
      </c>
      <c r="K349" s="24" t="n">
        <f aca="false">K348+J349</f>
        <v>10747.06</v>
      </c>
      <c r="L349" s="24" t="n">
        <f aca="false">Well_Data!$B$10-K349</f>
        <v>1752.94</v>
      </c>
      <c r="M349" s="24" t="n">
        <f aca="false">Well_Data!$B$10-K349+J349</f>
        <v>1784.15</v>
      </c>
      <c r="N349" s="25" t="n">
        <f aca="false">G349^2/1029.4</f>
        <v>0.0177619739654167</v>
      </c>
      <c r="O349" s="26" t="n">
        <f aca="false">N349*J349</f>
        <v>0.554351207460657</v>
      </c>
      <c r="P349" s="25" t="n">
        <f aca="false">(F349^2-G349^2)/1029.4</f>
        <v>0.00652401787449</v>
      </c>
      <c r="Q349" s="26" t="n">
        <f aca="false">P349*J349</f>
        <v>0.203614597862833</v>
      </c>
    </row>
    <row r="350" customFormat="false" ht="15" hidden="false" customHeight="true" outlineLevel="0" collapsed="false">
      <c r="A350" s="22" t="n">
        <v>349</v>
      </c>
      <c r="B350" s="22" t="n">
        <v>342</v>
      </c>
      <c r="C350" s="22" t="n">
        <v>103</v>
      </c>
      <c r="D350" s="22" t="s">
        <v>178</v>
      </c>
      <c r="E350" s="22" t="s">
        <v>179</v>
      </c>
      <c r="F350" s="23" t="n">
        <v>5</v>
      </c>
      <c r="G350" s="23" t="n">
        <v>4.276</v>
      </c>
      <c r="H350" s="20" t="n">
        <v>19.5</v>
      </c>
      <c r="I350" s="22" t="s">
        <v>180</v>
      </c>
      <c r="J350" s="20" t="n">
        <v>31.41</v>
      </c>
      <c r="K350" s="24" t="n">
        <f aca="false">K349+J350</f>
        <v>10778.47</v>
      </c>
      <c r="L350" s="24" t="n">
        <f aca="false">Well_Data!$B$10-K350</f>
        <v>1721.53</v>
      </c>
      <c r="M350" s="24" t="n">
        <f aca="false">Well_Data!$B$10-K350+J350</f>
        <v>1752.94</v>
      </c>
      <c r="N350" s="25" t="n">
        <f aca="false">G350^2/1029.4</f>
        <v>0.0177619739654167</v>
      </c>
      <c r="O350" s="26" t="n">
        <f aca="false">N350*J350</f>
        <v>0.55790360225374</v>
      </c>
      <c r="P350" s="25" t="n">
        <f aca="false">(F350^2-G350^2)/1029.4</f>
        <v>0.00652401787449</v>
      </c>
      <c r="Q350" s="26" t="n">
        <f aca="false">P350*J350</f>
        <v>0.204919401437731</v>
      </c>
    </row>
    <row r="351" customFormat="false" ht="15" hidden="false" customHeight="true" outlineLevel="0" collapsed="false">
      <c r="A351" s="22" t="n">
        <v>350</v>
      </c>
      <c r="B351" s="22" t="n">
        <v>343</v>
      </c>
      <c r="C351" s="22" t="n">
        <v>104</v>
      </c>
      <c r="D351" s="22" t="s">
        <v>178</v>
      </c>
      <c r="E351" s="22" t="s">
        <v>179</v>
      </c>
      <c r="F351" s="23" t="n">
        <v>5</v>
      </c>
      <c r="G351" s="23" t="n">
        <v>4.276</v>
      </c>
      <c r="H351" s="20" t="n">
        <v>19.5</v>
      </c>
      <c r="I351" s="22" t="s">
        <v>180</v>
      </c>
      <c r="J351" s="20" t="n">
        <v>31.14</v>
      </c>
      <c r="K351" s="24" t="n">
        <f aca="false">K350+J351</f>
        <v>10809.61</v>
      </c>
      <c r="L351" s="24" t="n">
        <f aca="false">Well_Data!$B$10-K351</f>
        <v>1690.39</v>
      </c>
      <c r="M351" s="24" t="n">
        <f aca="false">Well_Data!$B$10-K351+J351</f>
        <v>1721.53</v>
      </c>
      <c r="N351" s="25" t="n">
        <f aca="false">G351^2/1029.4</f>
        <v>0.0177619739654167</v>
      </c>
      <c r="O351" s="26" t="n">
        <f aca="false">N351*J351</f>
        <v>0.553107869283077</v>
      </c>
      <c r="P351" s="25" t="n">
        <f aca="false">(F351^2-G351^2)/1029.4</f>
        <v>0.00652401787449</v>
      </c>
      <c r="Q351" s="26" t="n">
        <f aca="false">P351*J351</f>
        <v>0.203157916611618</v>
      </c>
    </row>
    <row r="352" customFormat="false" ht="15" hidden="false" customHeight="true" outlineLevel="0" collapsed="false">
      <c r="A352" s="22" t="n">
        <v>351</v>
      </c>
      <c r="B352" s="22" t="n">
        <v>344</v>
      </c>
      <c r="C352" s="22" t="n">
        <v>104</v>
      </c>
      <c r="D352" s="22" t="s">
        <v>178</v>
      </c>
      <c r="E352" s="22" t="s">
        <v>179</v>
      </c>
      <c r="F352" s="23" t="n">
        <v>5</v>
      </c>
      <c r="G352" s="23" t="n">
        <v>4.276</v>
      </c>
      <c r="H352" s="20" t="n">
        <v>19.5</v>
      </c>
      <c r="I352" s="22" t="s">
        <v>180</v>
      </c>
      <c r="J352" s="20" t="n">
        <v>31.05</v>
      </c>
      <c r="K352" s="24" t="n">
        <f aca="false">K351+J352</f>
        <v>10840.66</v>
      </c>
      <c r="L352" s="24" t="n">
        <f aca="false">Well_Data!$B$10-K352</f>
        <v>1659.34</v>
      </c>
      <c r="M352" s="24" t="n">
        <f aca="false">Well_Data!$B$10-K352+J352</f>
        <v>1690.39</v>
      </c>
      <c r="N352" s="25" t="n">
        <f aca="false">G352^2/1029.4</f>
        <v>0.0177619739654167</v>
      </c>
      <c r="O352" s="26" t="n">
        <f aca="false">N352*J352</f>
        <v>0.55150929162619</v>
      </c>
      <c r="P352" s="25" t="n">
        <f aca="false">(F352^2-G352^2)/1029.4</f>
        <v>0.00652401787449</v>
      </c>
      <c r="Q352" s="26" t="n">
        <f aca="false">P352*J352</f>
        <v>0.202570755002914</v>
      </c>
    </row>
    <row r="353" customFormat="false" ht="15" hidden="false" customHeight="true" outlineLevel="0" collapsed="false">
      <c r="A353" s="22" t="n">
        <v>352</v>
      </c>
      <c r="B353" s="22" t="n">
        <v>345</v>
      </c>
      <c r="C353" s="22" t="n">
        <v>104</v>
      </c>
      <c r="D353" s="22" t="s">
        <v>178</v>
      </c>
      <c r="E353" s="22" t="s">
        <v>179</v>
      </c>
      <c r="F353" s="23" t="n">
        <v>5</v>
      </c>
      <c r="G353" s="23" t="n">
        <v>4.276</v>
      </c>
      <c r="H353" s="20" t="n">
        <v>19.5</v>
      </c>
      <c r="I353" s="22" t="s">
        <v>180</v>
      </c>
      <c r="J353" s="20" t="n">
        <v>31.51</v>
      </c>
      <c r="K353" s="24" t="n">
        <f aca="false">K352+J353</f>
        <v>10872.17</v>
      </c>
      <c r="L353" s="24" t="n">
        <f aca="false">Well_Data!$B$10-K353</f>
        <v>1627.83</v>
      </c>
      <c r="M353" s="24" t="n">
        <f aca="false">Well_Data!$B$10-K353+J353</f>
        <v>1659.34</v>
      </c>
      <c r="N353" s="25" t="n">
        <f aca="false">G353^2/1029.4</f>
        <v>0.0177619739654167</v>
      </c>
      <c r="O353" s="26" t="n">
        <f aca="false">N353*J353</f>
        <v>0.559679799650282</v>
      </c>
      <c r="P353" s="25" t="n">
        <f aca="false">(F353^2-G353^2)/1029.4</f>
        <v>0.00652401787449</v>
      </c>
      <c r="Q353" s="26" t="n">
        <f aca="false">P353*J353</f>
        <v>0.20557180322518</v>
      </c>
    </row>
    <row r="354" customFormat="false" ht="15" hidden="false" customHeight="true" outlineLevel="0" collapsed="false">
      <c r="A354" s="22" t="n">
        <v>353</v>
      </c>
      <c r="B354" s="22" t="n">
        <v>346</v>
      </c>
      <c r="C354" s="22" t="n">
        <v>105</v>
      </c>
      <c r="D354" s="22" t="s">
        <v>178</v>
      </c>
      <c r="E354" s="22" t="s">
        <v>179</v>
      </c>
      <c r="F354" s="23" t="n">
        <v>5</v>
      </c>
      <c r="G354" s="23" t="n">
        <v>4.276</v>
      </c>
      <c r="H354" s="20" t="n">
        <v>19.5</v>
      </c>
      <c r="I354" s="22" t="s">
        <v>180</v>
      </c>
      <c r="J354" s="20" t="n">
        <v>31.41</v>
      </c>
      <c r="K354" s="24" t="n">
        <f aca="false">K353+J354</f>
        <v>10903.58</v>
      </c>
      <c r="L354" s="24" t="n">
        <f aca="false">Well_Data!$B$10-K354</f>
        <v>1596.42</v>
      </c>
      <c r="M354" s="24" t="n">
        <f aca="false">Well_Data!$B$10-K354+J354</f>
        <v>1627.83</v>
      </c>
      <c r="N354" s="25" t="n">
        <f aca="false">G354^2/1029.4</f>
        <v>0.0177619739654167</v>
      </c>
      <c r="O354" s="26" t="n">
        <f aca="false">N354*J354</f>
        <v>0.55790360225374</v>
      </c>
      <c r="P354" s="25" t="n">
        <f aca="false">(F354^2-G354^2)/1029.4</f>
        <v>0.00652401787449</v>
      </c>
      <c r="Q354" s="26" t="n">
        <f aca="false">P354*J354</f>
        <v>0.204919401437731</v>
      </c>
    </row>
    <row r="355" customFormat="false" ht="15" hidden="false" customHeight="true" outlineLevel="0" collapsed="false">
      <c r="A355" s="22" t="n">
        <v>354</v>
      </c>
      <c r="B355" s="22" t="n">
        <v>347</v>
      </c>
      <c r="C355" s="22" t="n">
        <v>105</v>
      </c>
      <c r="D355" s="22" t="s">
        <v>178</v>
      </c>
      <c r="E355" s="22" t="s">
        <v>179</v>
      </c>
      <c r="F355" s="23" t="n">
        <v>5</v>
      </c>
      <c r="G355" s="23" t="n">
        <v>4.276</v>
      </c>
      <c r="H355" s="20" t="n">
        <v>19.5</v>
      </c>
      <c r="I355" s="22" t="s">
        <v>180</v>
      </c>
      <c r="J355" s="20" t="n">
        <v>31.5</v>
      </c>
      <c r="K355" s="24" t="n">
        <f aca="false">K354+J355</f>
        <v>10935.08</v>
      </c>
      <c r="L355" s="24" t="n">
        <f aca="false">Well_Data!$B$10-K355</f>
        <v>1564.92</v>
      </c>
      <c r="M355" s="24" t="n">
        <f aca="false">Well_Data!$B$10-K355+J355</f>
        <v>1596.42</v>
      </c>
      <c r="N355" s="25" t="n">
        <f aca="false">G355^2/1029.4</f>
        <v>0.0177619739654167</v>
      </c>
      <c r="O355" s="26" t="n">
        <f aca="false">N355*J355</f>
        <v>0.559502179910628</v>
      </c>
      <c r="P355" s="25" t="n">
        <f aca="false">(F355^2-G355^2)/1029.4</f>
        <v>0.00652401787449</v>
      </c>
      <c r="Q355" s="26" t="n">
        <f aca="false">P355*J355</f>
        <v>0.205506563046435</v>
      </c>
    </row>
    <row r="356" customFormat="false" ht="15" hidden="false" customHeight="true" outlineLevel="0" collapsed="false">
      <c r="A356" s="22" t="n">
        <v>355</v>
      </c>
      <c r="B356" s="22" t="n">
        <v>348</v>
      </c>
      <c r="C356" s="22" t="n">
        <v>105</v>
      </c>
      <c r="D356" s="22" t="s">
        <v>178</v>
      </c>
      <c r="E356" s="22" t="s">
        <v>179</v>
      </c>
      <c r="F356" s="23" t="n">
        <v>5</v>
      </c>
      <c r="G356" s="23" t="n">
        <v>4.276</v>
      </c>
      <c r="H356" s="20" t="n">
        <v>19.5</v>
      </c>
      <c r="I356" s="22" t="s">
        <v>180</v>
      </c>
      <c r="J356" s="20" t="n">
        <v>31.1</v>
      </c>
      <c r="K356" s="24" t="n">
        <f aca="false">K355+J356</f>
        <v>10966.18</v>
      </c>
      <c r="L356" s="24" t="n">
        <f aca="false">Well_Data!$B$10-K356</f>
        <v>1533.82</v>
      </c>
      <c r="M356" s="24" t="n">
        <f aca="false">Well_Data!$B$10-K356+J356</f>
        <v>1564.92</v>
      </c>
      <c r="N356" s="25" t="n">
        <f aca="false">G356^2/1029.4</f>
        <v>0.0177619739654167</v>
      </c>
      <c r="O356" s="26" t="n">
        <f aca="false">N356*J356</f>
        <v>0.552397390324461</v>
      </c>
      <c r="P356" s="25" t="n">
        <f aca="false">(F356^2-G356^2)/1029.4</f>
        <v>0.00652401787449</v>
      </c>
      <c r="Q356" s="26" t="n">
        <f aca="false">P356*J356</f>
        <v>0.202896955896639</v>
      </c>
    </row>
    <row r="357" customFormat="false" ht="15" hidden="false" customHeight="true" outlineLevel="0" collapsed="false">
      <c r="A357" s="22" t="n">
        <v>356</v>
      </c>
      <c r="B357" s="22" t="n">
        <v>349</v>
      </c>
      <c r="C357" s="22" t="n">
        <v>106</v>
      </c>
      <c r="D357" s="22" t="s">
        <v>178</v>
      </c>
      <c r="E357" s="22" t="s">
        <v>179</v>
      </c>
      <c r="F357" s="23" t="n">
        <v>5</v>
      </c>
      <c r="G357" s="23" t="n">
        <v>4.276</v>
      </c>
      <c r="H357" s="20" t="n">
        <v>19.5</v>
      </c>
      <c r="I357" s="22" t="s">
        <v>180</v>
      </c>
      <c r="J357" s="20" t="n">
        <v>31.07</v>
      </c>
      <c r="K357" s="24" t="n">
        <f aca="false">K356+J357</f>
        <v>10997.25</v>
      </c>
      <c r="L357" s="24" t="n">
        <f aca="false">Well_Data!$B$10-K357</f>
        <v>1502.75</v>
      </c>
      <c r="M357" s="24" t="n">
        <f aca="false">Well_Data!$B$10-K357+J357</f>
        <v>1533.82</v>
      </c>
      <c r="N357" s="25" t="n">
        <f aca="false">G357^2/1029.4</f>
        <v>0.0177619739654167</v>
      </c>
      <c r="O357" s="26" t="n">
        <f aca="false">N357*J357</f>
        <v>0.551864531105498</v>
      </c>
      <c r="P357" s="25" t="n">
        <f aca="false">(F357^2-G357^2)/1029.4</f>
        <v>0.00652401787449</v>
      </c>
      <c r="Q357" s="26" t="n">
        <f aca="false">P357*J357</f>
        <v>0.202701235360404</v>
      </c>
    </row>
    <row r="358" customFormat="false" ht="15" hidden="false" customHeight="true" outlineLevel="0" collapsed="false">
      <c r="A358" s="22" t="n">
        <v>357</v>
      </c>
      <c r="B358" s="22" t="n">
        <v>350</v>
      </c>
      <c r="C358" s="22" t="n">
        <v>106</v>
      </c>
      <c r="D358" s="22" t="s">
        <v>178</v>
      </c>
      <c r="E358" s="22" t="s">
        <v>179</v>
      </c>
      <c r="F358" s="23" t="n">
        <v>5</v>
      </c>
      <c r="G358" s="23" t="n">
        <v>4.276</v>
      </c>
      <c r="H358" s="20" t="n">
        <v>19.5</v>
      </c>
      <c r="I358" s="22" t="s">
        <v>180</v>
      </c>
      <c r="J358" s="20" t="n">
        <v>31.48</v>
      </c>
      <c r="K358" s="24" t="n">
        <f aca="false">K357+J358</f>
        <v>11028.73</v>
      </c>
      <c r="L358" s="24" t="n">
        <f aca="false">Well_Data!$B$10-K358</f>
        <v>1471.27</v>
      </c>
      <c r="M358" s="24" t="n">
        <f aca="false">Well_Data!$B$10-K358+J358</f>
        <v>1502.75</v>
      </c>
      <c r="N358" s="25" t="n">
        <f aca="false">G358^2/1029.4</f>
        <v>0.0177619739654167</v>
      </c>
      <c r="O358" s="26" t="n">
        <f aca="false">N358*J358</f>
        <v>0.559146940431319</v>
      </c>
      <c r="P358" s="25" t="n">
        <f aca="false">(F358^2-G358^2)/1029.4</f>
        <v>0.00652401787449</v>
      </c>
      <c r="Q358" s="26" t="n">
        <f aca="false">P358*J358</f>
        <v>0.205376082688945</v>
      </c>
    </row>
    <row r="359" customFormat="false" ht="15" hidden="false" customHeight="true" outlineLevel="0" collapsed="false">
      <c r="A359" s="22" t="n">
        <v>358</v>
      </c>
      <c r="B359" s="22" t="n">
        <v>351</v>
      </c>
      <c r="C359" s="22" t="n">
        <v>106</v>
      </c>
      <c r="D359" s="22" t="s">
        <v>178</v>
      </c>
      <c r="E359" s="22" t="s">
        <v>179</v>
      </c>
      <c r="F359" s="23" t="n">
        <v>5</v>
      </c>
      <c r="G359" s="23" t="n">
        <v>4.276</v>
      </c>
      <c r="H359" s="20" t="n">
        <v>19.5</v>
      </c>
      <c r="I359" s="22" t="s">
        <v>180</v>
      </c>
      <c r="J359" s="20" t="n">
        <v>30.94</v>
      </c>
      <c r="K359" s="24" t="n">
        <f aca="false">K358+J359</f>
        <v>11059.67</v>
      </c>
      <c r="L359" s="24" t="n">
        <f aca="false">Well_Data!$B$10-K359</f>
        <v>1440.33</v>
      </c>
      <c r="M359" s="24" t="n">
        <f aca="false">Well_Data!$B$10-K359+J359</f>
        <v>1471.27</v>
      </c>
      <c r="N359" s="25" t="n">
        <f aca="false">G359^2/1029.4</f>
        <v>0.0177619739654167</v>
      </c>
      <c r="O359" s="26" t="n">
        <f aca="false">N359*J359</f>
        <v>0.549555474489994</v>
      </c>
      <c r="P359" s="25" t="n">
        <f aca="false">(F359^2-G359^2)/1029.4</f>
        <v>0.00652401787449</v>
      </c>
      <c r="Q359" s="26" t="n">
        <f aca="false">P359*J359</f>
        <v>0.20185311303672</v>
      </c>
    </row>
    <row r="360" customFormat="false" ht="15" hidden="false" customHeight="true" outlineLevel="0" collapsed="false">
      <c r="A360" s="22" t="n">
        <v>359</v>
      </c>
      <c r="B360" s="22" t="n">
        <v>352</v>
      </c>
      <c r="C360" s="22" t="n">
        <v>107</v>
      </c>
      <c r="D360" s="22" t="s">
        <v>178</v>
      </c>
      <c r="E360" s="22" t="s">
        <v>179</v>
      </c>
      <c r="F360" s="23" t="n">
        <v>5</v>
      </c>
      <c r="G360" s="23" t="n">
        <v>4.276</v>
      </c>
      <c r="H360" s="20" t="n">
        <v>19.5</v>
      </c>
      <c r="I360" s="22" t="s">
        <v>180</v>
      </c>
      <c r="J360" s="20" t="n">
        <v>31.13</v>
      </c>
      <c r="K360" s="24" t="n">
        <f aca="false">K359+J360</f>
        <v>11090.8</v>
      </c>
      <c r="L360" s="24" t="n">
        <f aca="false">Well_Data!$B$10-K360</f>
        <v>1409.2</v>
      </c>
      <c r="M360" s="24" t="n">
        <f aca="false">Well_Data!$B$10-K360+J360</f>
        <v>1440.33</v>
      </c>
      <c r="N360" s="25" t="n">
        <f aca="false">G360^2/1029.4</f>
        <v>0.0177619739654167</v>
      </c>
      <c r="O360" s="26" t="n">
        <f aca="false">N360*J360</f>
        <v>0.552930249543423</v>
      </c>
      <c r="P360" s="25" t="n">
        <f aca="false">(F360^2-G360^2)/1029.4</f>
        <v>0.00652401787449</v>
      </c>
      <c r="Q360" s="26" t="n">
        <f aca="false">P360*J360</f>
        <v>0.203092676432874</v>
      </c>
    </row>
    <row r="361" customFormat="false" ht="15" hidden="false" customHeight="true" outlineLevel="0" collapsed="false">
      <c r="A361" s="22" t="n">
        <v>360</v>
      </c>
      <c r="B361" s="22" t="n">
        <v>353</v>
      </c>
      <c r="C361" s="22" t="n">
        <v>107</v>
      </c>
      <c r="D361" s="22" t="s">
        <v>178</v>
      </c>
      <c r="E361" s="22" t="s">
        <v>179</v>
      </c>
      <c r="F361" s="23" t="n">
        <v>5</v>
      </c>
      <c r="G361" s="23" t="n">
        <v>4.276</v>
      </c>
      <c r="H361" s="20" t="n">
        <v>19.5</v>
      </c>
      <c r="I361" s="22" t="s">
        <v>180</v>
      </c>
      <c r="J361" s="20" t="n">
        <v>30.97</v>
      </c>
      <c r="K361" s="24" t="n">
        <f aca="false">K360+J361</f>
        <v>11121.77</v>
      </c>
      <c r="L361" s="24" t="n">
        <f aca="false">Well_Data!$B$10-K361</f>
        <v>1378.23</v>
      </c>
      <c r="M361" s="24" t="n">
        <f aca="false">Well_Data!$B$10-K361+J361</f>
        <v>1409.2</v>
      </c>
      <c r="N361" s="25" t="n">
        <f aca="false">G361^2/1029.4</f>
        <v>0.0177619739654167</v>
      </c>
      <c r="O361" s="26" t="n">
        <f aca="false">N361*J361</f>
        <v>0.550088333708957</v>
      </c>
      <c r="P361" s="25" t="n">
        <f aca="false">(F361^2-G361^2)/1029.4</f>
        <v>0.00652401787449</v>
      </c>
      <c r="Q361" s="26" t="n">
        <f aca="false">P361*J361</f>
        <v>0.202048833572955</v>
      </c>
    </row>
    <row r="362" customFormat="false" ht="15" hidden="false" customHeight="true" outlineLevel="0" collapsed="false">
      <c r="A362" s="22" t="n">
        <v>361</v>
      </c>
      <c r="B362" s="22" t="n">
        <v>354</v>
      </c>
      <c r="C362" s="22" t="n">
        <v>107</v>
      </c>
      <c r="D362" s="22" t="s">
        <v>178</v>
      </c>
      <c r="E362" s="22" t="s">
        <v>179</v>
      </c>
      <c r="F362" s="23" t="n">
        <v>5</v>
      </c>
      <c r="G362" s="23" t="n">
        <v>4.276</v>
      </c>
      <c r="H362" s="20" t="n">
        <v>19.5</v>
      </c>
      <c r="I362" s="22" t="s">
        <v>180</v>
      </c>
      <c r="J362" s="20" t="n">
        <v>31.18</v>
      </c>
      <c r="K362" s="24" t="n">
        <f aca="false">K361+J362</f>
        <v>11152.95</v>
      </c>
      <c r="L362" s="24" t="n">
        <f aca="false">Well_Data!$B$10-K362</f>
        <v>1347.05</v>
      </c>
      <c r="M362" s="24" t="n">
        <f aca="false">Well_Data!$B$10-K362+J362</f>
        <v>1378.23</v>
      </c>
      <c r="N362" s="25" t="n">
        <f aca="false">G362^2/1029.4</f>
        <v>0.0177619739654167</v>
      </c>
      <c r="O362" s="26" t="n">
        <f aca="false">N362*J362</f>
        <v>0.553818348241694</v>
      </c>
      <c r="P362" s="25" t="n">
        <f aca="false">(F362^2-G362^2)/1029.4</f>
        <v>0.00652401787449</v>
      </c>
      <c r="Q362" s="26" t="n">
        <f aca="false">P362*J362</f>
        <v>0.203418877326598</v>
      </c>
    </row>
    <row r="363" customFormat="false" ht="15" hidden="false" customHeight="true" outlineLevel="0" collapsed="false">
      <c r="A363" s="22" t="n">
        <v>362</v>
      </c>
      <c r="B363" s="22" t="n">
        <v>355</v>
      </c>
      <c r="C363" s="22" t="n">
        <v>108</v>
      </c>
      <c r="D363" s="22" t="s">
        <v>178</v>
      </c>
      <c r="E363" s="22" t="s">
        <v>179</v>
      </c>
      <c r="F363" s="23" t="n">
        <v>5</v>
      </c>
      <c r="G363" s="23" t="n">
        <v>4.276</v>
      </c>
      <c r="H363" s="20" t="n">
        <v>19.5</v>
      </c>
      <c r="I363" s="22" t="s">
        <v>180</v>
      </c>
      <c r="J363" s="20" t="n">
        <v>30.95</v>
      </c>
      <c r="K363" s="24" t="n">
        <f aca="false">K362+J363</f>
        <v>11183.9</v>
      </c>
      <c r="L363" s="24" t="n">
        <f aca="false">Well_Data!$B$10-K363</f>
        <v>1316.1</v>
      </c>
      <c r="M363" s="24" t="n">
        <f aca="false">Well_Data!$B$10-K363+J363</f>
        <v>1347.05</v>
      </c>
      <c r="N363" s="25" t="n">
        <f aca="false">G363^2/1029.4</f>
        <v>0.0177619739654167</v>
      </c>
      <c r="O363" s="26" t="n">
        <f aca="false">N363*J363</f>
        <v>0.549733094229648</v>
      </c>
      <c r="P363" s="25" t="n">
        <f aca="false">(F363^2-G363^2)/1029.4</f>
        <v>0.00652401787449</v>
      </c>
      <c r="Q363" s="26" t="n">
        <f aca="false">P363*J363</f>
        <v>0.201918353215465</v>
      </c>
    </row>
    <row r="364" customFormat="false" ht="15" hidden="false" customHeight="true" outlineLevel="0" collapsed="false">
      <c r="A364" s="22" t="n">
        <v>363</v>
      </c>
      <c r="B364" s="22" t="n">
        <v>356</v>
      </c>
      <c r="C364" s="22" t="n">
        <v>108</v>
      </c>
      <c r="D364" s="22" t="s">
        <v>178</v>
      </c>
      <c r="E364" s="22" t="s">
        <v>179</v>
      </c>
      <c r="F364" s="23" t="n">
        <v>5</v>
      </c>
      <c r="G364" s="23" t="n">
        <v>4.276</v>
      </c>
      <c r="H364" s="20" t="n">
        <v>19.5</v>
      </c>
      <c r="I364" s="22" t="s">
        <v>180</v>
      </c>
      <c r="J364" s="20" t="n">
        <v>31.29</v>
      </c>
      <c r="K364" s="24" t="n">
        <f aca="false">K363+J364</f>
        <v>11215.19</v>
      </c>
      <c r="L364" s="24" t="n">
        <f aca="false">Well_Data!$B$10-K364</f>
        <v>1284.81</v>
      </c>
      <c r="M364" s="24" t="n">
        <f aca="false">Well_Data!$B$10-K364+J364</f>
        <v>1316.1</v>
      </c>
      <c r="N364" s="25" t="n">
        <f aca="false">G364^2/1029.4</f>
        <v>0.0177619739654167</v>
      </c>
      <c r="O364" s="26" t="n">
        <f aca="false">N364*J364</f>
        <v>0.55577216537789</v>
      </c>
      <c r="P364" s="25" t="n">
        <f aca="false">(F364^2-G364^2)/1029.4</f>
        <v>0.00652401787449</v>
      </c>
      <c r="Q364" s="26" t="n">
        <f aca="false">P364*J364</f>
        <v>0.204136519292792</v>
      </c>
    </row>
    <row r="365" customFormat="false" ht="15" hidden="false" customHeight="true" outlineLevel="0" collapsed="false">
      <c r="A365" s="22" t="n">
        <v>364</v>
      </c>
      <c r="B365" s="22" t="n">
        <v>357</v>
      </c>
      <c r="C365" s="22" t="n">
        <v>108</v>
      </c>
      <c r="D365" s="22" t="s">
        <v>178</v>
      </c>
      <c r="E365" s="22" t="s">
        <v>179</v>
      </c>
      <c r="F365" s="23" t="n">
        <v>5</v>
      </c>
      <c r="G365" s="23" t="n">
        <v>4.276</v>
      </c>
      <c r="H365" s="20" t="n">
        <v>19.5</v>
      </c>
      <c r="I365" s="22" t="s">
        <v>180</v>
      </c>
      <c r="J365" s="20" t="n">
        <v>31</v>
      </c>
      <c r="K365" s="24" t="n">
        <f aca="false">K364+J365</f>
        <v>11246.19</v>
      </c>
      <c r="L365" s="24" t="n">
        <f aca="false">Well_Data!$B$10-K365</f>
        <v>1253.81</v>
      </c>
      <c r="M365" s="24" t="n">
        <f aca="false">Well_Data!$B$10-K365+J365</f>
        <v>1284.81</v>
      </c>
      <c r="N365" s="25" t="n">
        <f aca="false">G365^2/1029.4</f>
        <v>0.0177619739654167</v>
      </c>
      <c r="O365" s="26" t="n">
        <f aca="false">N365*J365</f>
        <v>0.550621192927919</v>
      </c>
      <c r="P365" s="25" t="n">
        <f aca="false">(F365^2-G365^2)/1029.4</f>
        <v>0.00652401787449</v>
      </c>
      <c r="Q365" s="26" t="n">
        <f aca="false">P365*J365</f>
        <v>0.20224455410919</v>
      </c>
    </row>
    <row r="366" customFormat="false" ht="15" hidden="false" customHeight="true" outlineLevel="0" collapsed="false">
      <c r="A366" s="22" t="n">
        <v>365</v>
      </c>
      <c r="B366" s="22" t="n">
        <v>358</v>
      </c>
      <c r="C366" s="22" t="n">
        <v>109</v>
      </c>
      <c r="D366" s="22" t="s">
        <v>178</v>
      </c>
      <c r="E366" s="22" t="s">
        <v>179</v>
      </c>
      <c r="F366" s="23" t="n">
        <v>5</v>
      </c>
      <c r="G366" s="23" t="n">
        <v>4.276</v>
      </c>
      <c r="H366" s="20" t="n">
        <v>19.5</v>
      </c>
      <c r="I366" s="22" t="s">
        <v>180</v>
      </c>
      <c r="J366" s="20" t="n">
        <v>31.74</v>
      </c>
      <c r="K366" s="24" t="n">
        <f aca="false">K365+J366</f>
        <v>11277.93</v>
      </c>
      <c r="L366" s="24" t="n">
        <f aca="false">Well_Data!$B$10-K366</f>
        <v>1222.07</v>
      </c>
      <c r="M366" s="24" t="n">
        <f aca="false">Well_Data!$B$10-K366+J366</f>
        <v>1253.81</v>
      </c>
      <c r="N366" s="25" t="n">
        <f aca="false">G366^2/1029.4</f>
        <v>0.0177619739654167</v>
      </c>
      <c r="O366" s="26" t="n">
        <f aca="false">N366*J366</f>
        <v>0.563765053662327</v>
      </c>
      <c r="P366" s="25" t="n">
        <f aca="false">(F366^2-G366^2)/1029.4</f>
        <v>0.00652401787449</v>
      </c>
      <c r="Q366" s="26" t="n">
        <f aca="false">P366*J366</f>
        <v>0.207072327336312</v>
      </c>
    </row>
    <row r="367" customFormat="false" ht="15" hidden="false" customHeight="true" outlineLevel="0" collapsed="false">
      <c r="A367" s="22" t="n">
        <v>366</v>
      </c>
      <c r="B367" s="22" t="n">
        <v>359</v>
      </c>
      <c r="C367" s="22" t="n">
        <v>109</v>
      </c>
      <c r="D367" s="22" t="s">
        <v>178</v>
      </c>
      <c r="E367" s="22" t="s">
        <v>179</v>
      </c>
      <c r="F367" s="23" t="n">
        <v>5</v>
      </c>
      <c r="G367" s="23" t="n">
        <v>4.276</v>
      </c>
      <c r="H367" s="20" t="n">
        <v>19.5</v>
      </c>
      <c r="I367" s="22" t="s">
        <v>180</v>
      </c>
      <c r="J367" s="20" t="n">
        <v>31.22</v>
      </c>
      <c r="K367" s="24" t="n">
        <f aca="false">K366+J367</f>
        <v>11309.15</v>
      </c>
      <c r="L367" s="24" t="n">
        <f aca="false">Well_Data!$B$10-K367</f>
        <v>1190.85</v>
      </c>
      <c r="M367" s="24" t="n">
        <f aca="false">Well_Data!$B$10-K367+J367</f>
        <v>1222.07</v>
      </c>
      <c r="N367" s="25" t="n">
        <f aca="false">G367^2/1029.4</f>
        <v>0.0177619739654167</v>
      </c>
      <c r="O367" s="26" t="n">
        <f aca="false">N367*J367</f>
        <v>0.554528827200311</v>
      </c>
      <c r="P367" s="25" t="n">
        <f aca="false">(F367^2-G367^2)/1029.4</f>
        <v>0.00652401787449</v>
      </c>
      <c r="Q367" s="26" t="n">
        <f aca="false">P367*J367</f>
        <v>0.203679838041578</v>
      </c>
    </row>
    <row r="368" customFormat="false" ht="15" hidden="false" customHeight="true" outlineLevel="0" collapsed="false">
      <c r="A368" s="22" t="n">
        <v>367</v>
      </c>
      <c r="B368" s="22" t="n">
        <v>360</v>
      </c>
      <c r="C368" s="22" t="n">
        <v>109</v>
      </c>
      <c r="D368" s="22" t="s">
        <v>178</v>
      </c>
      <c r="E368" s="22" t="s">
        <v>179</v>
      </c>
      <c r="F368" s="23" t="n">
        <v>5</v>
      </c>
      <c r="G368" s="23" t="n">
        <v>4.276</v>
      </c>
      <c r="H368" s="20" t="n">
        <v>19.5</v>
      </c>
      <c r="I368" s="22" t="s">
        <v>180</v>
      </c>
      <c r="J368" s="20" t="n">
        <v>31.09</v>
      </c>
      <c r="K368" s="24" t="n">
        <f aca="false">K367+J368</f>
        <v>11340.24</v>
      </c>
      <c r="L368" s="24" t="n">
        <f aca="false">Well_Data!$B$10-K368</f>
        <v>1159.76</v>
      </c>
      <c r="M368" s="24" t="n">
        <f aca="false">Well_Data!$B$10-K368+J368</f>
        <v>1190.85</v>
      </c>
      <c r="N368" s="25" t="n">
        <f aca="false">G368^2/1029.4</f>
        <v>0.0177619739654167</v>
      </c>
      <c r="O368" s="26" t="n">
        <f aca="false">N368*J368</f>
        <v>0.552219770584807</v>
      </c>
      <c r="P368" s="25" t="n">
        <f aca="false">(F368^2-G368^2)/1029.4</f>
        <v>0.00652401787449</v>
      </c>
      <c r="Q368" s="26" t="n">
        <f aca="false">P368*J368</f>
        <v>0.202831715717894</v>
      </c>
    </row>
    <row r="369" customFormat="false" ht="15" hidden="false" customHeight="true" outlineLevel="0" collapsed="false">
      <c r="A369" s="22" t="n">
        <v>368</v>
      </c>
      <c r="B369" s="22" t="n">
        <v>361</v>
      </c>
      <c r="C369" s="22" t="n">
        <v>110</v>
      </c>
      <c r="D369" s="22" t="s">
        <v>178</v>
      </c>
      <c r="E369" s="22" t="s">
        <v>179</v>
      </c>
      <c r="F369" s="23" t="n">
        <v>5</v>
      </c>
      <c r="G369" s="23" t="n">
        <v>4.276</v>
      </c>
      <c r="H369" s="20" t="n">
        <v>19.5</v>
      </c>
      <c r="I369" s="22" t="s">
        <v>180</v>
      </c>
      <c r="J369" s="20" t="n">
        <v>31.38</v>
      </c>
      <c r="K369" s="24" t="n">
        <f aca="false">K368+J369</f>
        <v>11371.62</v>
      </c>
      <c r="L369" s="24" t="n">
        <f aca="false">Well_Data!$B$10-K369</f>
        <v>1128.38</v>
      </c>
      <c r="M369" s="24" t="n">
        <f aca="false">Well_Data!$B$10-K369+J369</f>
        <v>1159.76</v>
      </c>
      <c r="N369" s="25" t="n">
        <f aca="false">G369^2/1029.4</f>
        <v>0.0177619739654167</v>
      </c>
      <c r="O369" s="26" t="n">
        <f aca="false">N369*J369</f>
        <v>0.557370743034777</v>
      </c>
      <c r="P369" s="25" t="n">
        <f aca="false">(F369^2-G369^2)/1029.4</f>
        <v>0.00652401787449</v>
      </c>
      <c r="Q369" s="26" t="n">
        <f aca="false">P369*J369</f>
        <v>0.204723680901496</v>
      </c>
    </row>
    <row r="370" customFormat="false" ht="15" hidden="false" customHeight="true" outlineLevel="0" collapsed="false">
      <c r="A370" s="22" t="n">
        <v>369</v>
      </c>
      <c r="B370" s="22" t="n">
        <v>362</v>
      </c>
      <c r="C370" s="22" t="n">
        <v>110</v>
      </c>
      <c r="D370" s="22" t="s">
        <v>178</v>
      </c>
      <c r="E370" s="22" t="s">
        <v>179</v>
      </c>
      <c r="F370" s="23" t="n">
        <v>5</v>
      </c>
      <c r="G370" s="23" t="n">
        <v>4.276</v>
      </c>
      <c r="H370" s="20" t="n">
        <v>19.5</v>
      </c>
      <c r="I370" s="22" t="s">
        <v>180</v>
      </c>
      <c r="J370" s="20" t="n">
        <v>31.14</v>
      </c>
      <c r="K370" s="24" t="n">
        <f aca="false">K369+J370</f>
        <v>11402.76</v>
      </c>
      <c r="L370" s="24" t="n">
        <f aca="false">Well_Data!$B$10-K370</f>
        <v>1097.24</v>
      </c>
      <c r="M370" s="24" t="n">
        <f aca="false">Well_Data!$B$10-K370+J370</f>
        <v>1128.38</v>
      </c>
      <c r="N370" s="25" t="n">
        <f aca="false">G370^2/1029.4</f>
        <v>0.0177619739654167</v>
      </c>
      <c r="O370" s="26" t="n">
        <f aca="false">N370*J370</f>
        <v>0.553107869283077</v>
      </c>
      <c r="P370" s="25" t="n">
        <f aca="false">(F370^2-G370^2)/1029.4</f>
        <v>0.00652401787449</v>
      </c>
      <c r="Q370" s="26" t="n">
        <f aca="false">P370*J370</f>
        <v>0.203157916611618</v>
      </c>
    </row>
    <row r="371" customFormat="false" ht="15" hidden="false" customHeight="true" outlineLevel="0" collapsed="false">
      <c r="A371" s="22" t="n">
        <v>370</v>
      </c>
      <c r="B371" s="22" t="n">
        <v>363</v>
      </c>
      <c r="C371" s="22" t="n">
        <v>110</v>
      </c>
      <c r="D371" s="22" t="s">
        <v>178</v>
      </c>
      <c r="E371" s="22" t="s">
        <v>179</v>
      </c>
      <c r="F371" s="23" t="n">
        <v>5</v>
      </c>
      <c r="G371" s="23" t="n">
        <v>4.276</v>
      </c>
      <c r="H371" s="20" t="n">
        <v>19.5</v>
      </c>
      <c r="I371" s="22" t="s">
        <v>180</v>
      </c>
      <c r="J371" s="20" t="n">
        <v>31.37</v>
      </c>
      <c r="K371" s="24" t="n">
        <f aca="false">K370+J371</f>
        <v>11434.13</v>
      </c>
      <c r="L371" s="24" t="n">
        <f aca="false">Well_Data!$B$10-K371</f>
        <v>1065.87</v>
      </c>
      <c r="M371" s="24" t="n">
        <f aca="false">Well_Data!$B$10-K371+J371</f>
        <v>1097.24</v>
      </c>
      <c r="N371" s="25" t="n">
        <f aca="false">G371^2/1029.4</f>
        <v>0.0177619739654167</v>
      </c>
      <c r="O371" s="26" t="n">
        <f aca="false">N371*J371</f>
        <v>0.557193123295123</v>
      </c>
      <c r="P371" s="25" t="n">
        <f aca="false">(F371^2-G371^2)/1029.4</f>
        <v>0.00652401787449</v>
      </c>
      <c r="Q371" s="26" t="n">
        <f aca="false">P371*J371</f>
        <v>0.204658440722751</v>
      </c>
    </row>
    <row r="372" customFormat="false" ht="15" hidden="false" customHeight="true" outlineLevel="0" collapsed="false">
      <c r="A372" s="22" t="n">
        <v>371</v>
      </c>
      <c r="B372" s="22" t="n">
        <v>364</v>
      </c>
      <c r="C372" s="22" t="n">
        <v>111</v>
      </c>
      <c r="D372" s="22" t="s">
        <v>178</v>
      </c>
      <c r="E372" s="22" t="s">
        <v>179</v>
      </c>
      <c r="F372" s="23" t="n">
        <v>5</v>
      </c>
      <c r="G372" s="23" t="n">
        <v>4.276</v>
      </c>
      <c r="H372" s="20" t="n">
        <v>19.5</v>
      </c>
      <c r="I372" s="22" t="s">
        <v>180</v>
      </c>
      <c r="J372" s="20" t="n">
        <v>31.28</v>
      </c>
      <c r="K372" s="24" t="n">
        <f aca="false">K371+J372</f>
        <v>11465.41</v>
      </c>
      <c r="L372" s="24" t="n">
        <f aca="false">Well_Data!$B$10-K372</f>
        <v>1034.59</v>
      </c>
      <c r="M372" s="24" t="n">
        <f aca="false">Well_Data!$B$10-K372+J372</f>
        <v>1065.87</v>
      </c>
      <c r="N372" s="25" t="n">
        <f aca="false">G372^2/1029.4</f>
        <v>0.0177619739654167</v>
      </c>
      <c r="O372" s="26" t="n">
        <f aca="false">N372*J372</f>
        <v>0.555594545638236</v>
      </c>
      <c r="P372" s="25" t="n">
        <f aca="false">(F372^2-G372^2)/1029.4</f>
        <v>0.00652401787449</v>
      </c>
      <c r="Q372" s="26" t="n">
        <f aca="false">P372*J372</f>
        <v>0.204071279114047</v>
      </c>
    </row>
    <row r="373" customFormat="false" ht="15" hidden="false" customHeight="true" outlineLevel="0" collapsed="false">
      <c r="A373" s="22" t="n">
        <v>372</v>
      </c>
      <c r="B373" s="22" t="n">
        <v>365</v>
      </c>
      <c r="C373" s="22" t="n">
        <v>111</v>
      </c>
      <c r="D373" s="22" t="s">
        <v>178</v>
      </c>
      <c r="E373" s="22" t="s">
        <v>179</v>
      </c>
      <c r="F373" s="23" t="n">
        <v>5</v>
      </c>
      <c r="G373" s="23" t="n">
        <v>4.276</v>
      </c>
      <c r="H373" s="20" t="n">
        <v>19.5</v>
      </c>
      <c r="I373" s="22" t="s">
        <v>180</v>
      </c>
      <c r="J373" s="20" t="n">
        <v>31.43</v>
      </c>
      <c r="K373" s="24" t="n">
        <f aca="false">K372+J373</f>
        <v>11496.84</v>
      </c>
      <c r="L373" s="24" t="n">
        <f aca="false">Well_Data!$B$10-K373</f>
        <v>1003.16</v>
      </c>
      <c r="M373" s="24" t="n">
        <f aca="false">Well_Data!$B$10-K373+J373</f>
        <v>1034.59</v>
      </c>
      <c r="N373" s="25" t="n">
        <f aca="false">G373^2/1029.4</f>
        <v>0.0177619739654167</v>
      </c>
      <c r="O373" s="26" t="n">
        <f aca="false">N373*J373</f>
        <v>0.558258841733048</v>
      </c>
      <c r="P373" s="25" t="n">
        <f aca="false">(F373^2-G373^2)/1029.4</f>
        <v>0.00652401787449</v>
      </c>
      <c r="Q373" s="26" t="n">
        <f aca="false">P373*J373</f>
        <v>0.205049881795221</v>
      </c>
    </row>
    <row r="374" customFormat="false" ht="15" hidden="false" customHeight="true" outlineLevel="0" collapsed="false">
      <c r="A374" s="22" t="n">
        <v>373</v>
      </c>
      <c r="B374" s="22" t="n">
        <v>366</v>
      </c>
      <c r="C374" s="22" t="n">
        <v>111</v>
      </c>
      <c r="D374" s="22" t="s">
        <v>178</v>
      </c>
      <c r="E374" s="22" t="s">
        <v>179</v>
      </c>
      <c r="F374" s="23" t="n">
        <v>5</v>
      </c>
      <c r="G374" s="23" t="n">
        <v>4.276</v>
      </c>
      <c r="H374" s="20" t="n">
        <v>19.5</v>
      </c>
      <c r="I374" s="22" t="s">
        <v>180</v>
      </c>
      <c r="J374" s="20" t="n">
        <v>30.98</v>
      </c>
      <c r="K374" s="24" t="n">
        <f aca="false">K373+J374</f>
        <v>11527.82</v>
      </c>
      <c r="L374" s="24" t="n">
        <f aca="false">Well_Data!$B$10-K374</f>
        <v>972.180000000002</v>
      </c>
      <c r="M374" s="24" t="n">
        <f aca="false">Well_Data!$B$10-K374+J374</f>
        <v>1003.16</v>
      </c>
      <c r="N374" s="25" t="n">
        <f aca="false">G374^2/1029.4</f>
        <v>0.0177619739654167</v>
      </c>
      <c r="O374" s="26" t="n">
        <f aca="false">N374*J374</f>
        <v>0.550265953448611</v>
      </c>
      <c r="P374" s="25" t="n">
        <f aca="false">(F374^2-G374^2)/1029.4</f>
        <v>0.00652401787449</v>
      </c>
      <c r="Q374" s="26" t="n">
        <f aca="false">P374*J374</f>
        <v>0.2021140737517</v>
      </c>
    </row>
    <row r="375" customFormat="false" ht="15" hidden="false" customHeight="true" outlineLevel="0" collapsed="false">
      <c r="A375" s="22" t="n">
        <v>374</v>
      </c>
      <c r="B375" s="22" t="n">
        <v>367</v>
      </c>
      <c r="C375" s="22" t="n">
        <v>112</v>
      </c>
      <c r="D375" s="22" t="s">
        <v>178</v>
      </c>
      <c r="E375" s="22" t="s">
        <v>179</v>
      </c>
      <c r="F375" s="23" t="n">
        <v>5</v>
      </c>
      <c r="G375" s="23" t="n">
        <v>4.276</v>
      </c>
      <c r="H375" s="20" t="n">
        <v>19.5</v>
      </c>
      <c r="I375" s="22" t="s">
        <v>180</v>
      </c>
      <c r="J375" s="20" t="n">
        <v>30.73</v>
      </c>
      <c r="K375" s="24" t="n">
        <f aca="false">K374+J375</f>
        <v>11558.55</v>
      </c>
      <c r="L375" s="24" t="n">
        <f aca="false">Well_Data!$B$10-K375</f>
        <v>941.450000000003</v>
      </c>
      <c r="M375" s="24" t="n">
        <f aca="false">Well_Data!$B$10-K375+J375</f>
        <v>972.180000000003</v>
      </c>
      <c r="N375" s="25" t="n">
        <f aca="false">G375^2/1029.4</f>
        <v>0.0177619739654167</v>
      </c>
      <c r="O375" s="26" t="n">
        <f aca="false">N375*J375</f>
        <v>0.545825459957257</v>
      </c>
      <c r="P375" s="25" t="n">
        <f aca="false">(F375^2-G375^2)/1029.4</f>
        <v>0.00652401787449</v>
      </c>
      <c r="Q375" s="26" t="n">
        <f aca="false">P375*J375</f>
        <v>0.200483069283078</v>
      </c>
    </row>
    <row r="376" customFormat="false" ht="15" hidden="false" customHeight="true" outlineLevel="0" collapsed="false">
      <c r="A376" s="22" t="n">
        <v>375</v>
      </c>
      <c r="B376" s="22" t="n">
        <v>368</v>
      </c>
      <c r="C376" s="22" t="n">
        <v>112</v>
      </c>
      <c r="D376" s="22" t="s">
        <v>178</v>
      </c>
      <c r="E376" s="22" t="s">
        <v>179</v>
      </c>
      <c r="F376" s="23" t="n">
        <v>5</v>
      </c>
      <c r="G376" s="23" t="n">
        <v>4.276</v>
      </c>
      <c r="H376" s="20" t="n">
        <v>19.5</v>
      </c>
      <c r="I376" s="22" t="s">
        <v>180</v>
      </c>
      <c r="J376" s="20" t="n">
        <v>31.6</v>
      </c>
      <c r="K376" s="24" t="n">
        <f aca="false">K375+J376</f>
        <v>11590.15</v>
      </c>
      <c r="L376" s="24" t="n">
        <f aca="false">Well_Data!$B$10-K376</f>
        <v>909.850000000002</v>
      </c>
      <c r="M376" s="24" t="n">
        <f aca="false">Well_Data!$B$10-K376+J376</f>
        <v>941.450000000002</v>
      </c>
      <c r="N376" s="25" t="n">
        <f aca="false">G376^2/1029.4</f>
        <v>0.0177619739654167</v>
      </c>
      <c r="O376" s="26" t="n">
        <f aca="false">N376*J376</f>
        <v>0.561278377307169</v>
      </c>
      <c r="P376" s="25" t="n">
        <f aca="false">(F376^2-G376^2)/1029.4</f>
        <v>0.00652401787449</v>
      </c>
      <c r="Q376" s="26" t="n">
        <f aca="false">P376*J376</f>
        <v>0.206158964833884</v>
      </c>
    </row>
    <row r="377" customFormat="false" ht="15" hidden="false" customHeight="true" outlineLevel="0" collapsed="false">
      <c r="A377" s="22" t="n">
        <v>376</v>
      </c>
      <c r="B377" s="22" t="n">
        <v>369</v>
      </c>
      <c r="C377" s="22" t="n">
        <v>112</v>
      </c>
      <c r="D377" s="22" t="s">
        <v>178</v>
      </c>
      <c r="E377" s="22" t="s">
        <v>179</v>
      </c>
      <c r="F377" s="23" t="n">
        <v>5</v>
      </c>
      <c r="G377" s="23" t="n">
        <v>4.276</v>
      </c>
      <c r="H377" s="20" t="n">
        <v>19.5</v>
      </c>
      <c r="I377" s="22" t="s">
        <v>180</v>
      </c>
      <c r="J377" s="20" t="n">
        <v>30.89</v>
      </c>
      <c r="K377" s="24" t="n">
        <f aca="false">K376+J377</f>
        <v>11621.04</v>
      </c>
      <c r="L377" s="24" t="n">
        <f aca="false">Well_Data!$B$10-K377</f>
        <v>878.960000000003</v>
      </c>
      <c r="M377" s="24" t="n">
        <f aca="false">Well_Data!$B$10-K377+J377</f>
        <v>909.850000000003</v>
      </c>
      <c r="N377" s="25" t="n">
        <f aca="false">G377^2/1029.4</f>
        <v>0.0177619739654167</v>
      </c>
      <c r="O377" s="26" t="n">
        <f aca="false">N377*J377</f>
        <v>0.548667375791723</v>
      </c>
      <c r="P377" s="25" t="n">
        <f aca="false">(F377^2-G377^2)/1029.4</f>
        <v>0.00652401787449</v>
      </c>
      <c r="Q377" s="26" t="n">
        <f aca="false">P377*J377</f>
        <v>0.201526912142996</v>
      </c>
    </row>
    <row r="378" customFormat="false" ht="15" hidden="false" customHeight="true" outlineLevel="0" collapsed="false">
      <c r="A378" s="22" t="n">
        <v>377</v>
      </c>
      <c r="B378" s="22" t="n">
        <v>370</v>
      </c>
      <c r="C378" s="22" t="n">
        <v>113</v>
      </c>
      <c r="D378" s="22" t="s">
        <v>178</v>
      </c>
      <c r="E378" s="22" t="s">
        <v>179</v>
      </c>
      <c r="F378" s="23" t="n">
        <v>5</v>
      </c>
      <c r="G378" s="23" t="n">
        <v>4.276</v>
      </c>
      <c r="H378" s="20" t="n">
        <v>19.5</v>
      </c>
      <c r="I378" s="22" t="s">
        <v>180</v>
      </c>
      <c r="J378" s="20" t="n">
        <v>31.46</v>
      </c>
      <c r="K378" s="24" t="n">
        <f aca="false">K377+J378</f>
        <v>11652.5</v>
      </c>
      <c r="L378" s="24" t="n">
        <f aca="false">Well_Data!$B$10-K378</f>
        <v>847.500000000004</v>
      </c>
      <c r="M378" s="24" t="n">
        <f aca="false">Well_Data!$B$10-K378+J378</f>
        <v>878.960000000004</v>
      </c>
      <c r="N378" s="25" t="n">
        <f aca="false">G378^2/1029.4</f>
        <v>0.0177619739654167</v>
      </c>
      <c r="O378" s="26" t="n">
        <f aca="false">N378*J378</f>
        <v>0.558791700952011</v>
      </c>
      <c r="P378" s="25" t="n">
        <f aca="false">(F378^2-G378^2)/1029.4</f>
        <v>0.00652401787449</v>
      </c>
      <c r="Q378" s="26" t="n">
        <f aca="false">P378*J378</f>
        <v>0.205245602331455</v>
      </c>
    </row>
    <row r="379" customFormat="false" ht="15" hidden="false" customHeight="true" outlineLevel="0" collapsed="false">
      <c r="A379" s="22" t="n">
        <v>378</v>
      </c>
      <c r="B379" s="22" t="n">
        <v>371</v>
      </c>
      <c r="C379" s="22" t="n">
        <v>113</v>
      </c>
      <c r="D379" s="22" t="s">
        <v>178</v>
      </c>
      <c r="E379" s="22" t="s">
        <v>179</v>
      </c>
      <c r="F379" s="23" t="n">
        <v>5</v>
      </c>
      <c r="G379" s="23" t="n">
        <v>4.276</v>
      </c>
      <c r="H379" s="20" t="n">
        <v>19.5</v>
      </c>
      <c r="I379" s="22" t="s">
        <v>180</v>
      </c>
      <c r="J379" s="20" t="n">
        <v>30.81</v>
      </c>
      <c r="K379" s="24" t="n">
        <f aca="false">K378+J379</f>
        <v>11683.31</v>
      </c>
      <c r="L379" s="24" t="n">
        <f aca="false">Well_Data!$B$10-K379</f>
        <v>816.690000000004</v>
      </c>
      <c r="M379" s="24" t="n">
        <f aca="false">Well_Data!$B$10-K379+J379</f>
        <v>847.500000000004</v>
      </c>
      <c r="N379" s="25" t="n">
        <f aca="false">G379^2/1029.4</f>
        <v>0.0177619739654167</v>
      </c>
      <c r="O379" s="26" t="n">
        <f aca="false">N379*J379</f>
        <v>0.54724641787449</v>
      </c>
      <c r="P379" s="25" t="n">
        <f aca="false">(F379^2-G379^2)/1029.4</f>
        <v>0.00652401787449</v>
      </c>
      <c r="Q379" s="26" t="n">
        <f aca="false">P379*J379</f>
        <v>0.201004990713037</v>
      </c>
    </row>
    <row r="380" customFormat="false" ht="15" hidden="false" customHeight="true" outlineLevel="0" collapsed="false">
      <c r="A380" s="22" t="n">
        <v>379</v>
      </c>
      <c r="B380" s="22" t="n">
        <v>372</v>
      </c>
      <c r="C380" s="22" t="n">
        <v>113</v>
      </c>
      <c r="D380" s="22" t="s">
        <v>178</v>
      </c>
      <c r="E380" s="22" t="s">
        <v>179</v>
      </c>
      <c r="F380" s="23" t="n">
        <v>5</v>
      </c>
      <c r="G380" s="23" t="n">
        <v>4.276</v>
      </c>
      <c r="H380" s="20" t="n">
        <v>19.5</v>
      </c>
      <c r="I380" s="22" t="s">
        <v>180</v>
      </c>
      <c r="J380" s="20" t="n">
        <v>30.68</v>
      </c>
      <c r="K380" s="24" t="n">
        <f aca="false">K379+J380</f>
        <v>11713.99</v>
      </c>
      <c r="L380" s="24" t="n">
        <f aca="false">Well_Data!$B$10-K380</f>
        <v>786.010000000004</v>
      </c>
      <c r="M380" s="24" t="n">
        <f aca="false">Well_Data!$B$10-K380+J380</f>
        <v>816.690000000004</v>
      </c>
      <c r="N380" s="25" t="n">
        <f aca="false">G380^2/1029.4</f>
        <v>0.0177619739654167</v>
      </c>
      <c r="O380" s="26" t="n">
        <f aca="false">N380*J380</f>
        <v>0.544937361258986</v>
      </c>
      <c r="P380" s="25" t="n">
        <f aca="false">(F380^2-G380^2)/1029.4</f>
        <v>0.00652401787449</v>
      </c>
      <c r="Q380" s="26" t="n">
        <f aca="false">P380*J380</f>
        <v>0.200156868389353</v>
      </c>
    </row>
    <row r="381" customFormat="false" ht="15" hidden="false" customHeight="true" outlineLevel="0" collapsed="false">
      <c r="A381" s="22" t="n">
        <v>380</v>
      </c>
      <c r="B381" s="22" t="n">
        <v>373</v>
      </c>
      <c r="C381" s="22" t="n">
        <v>114</v>
      </c>
      <c r="D381" s="22" t="s">
        <v>178</v>
      </c>
      <c r="E381" s="22" t="s">
        <v>179</v>
      </c>
      <c r="F381" s="23" t="n">
        <v>5</v>
      </c>
      <c r="G381" s="23" t="n">
        <v>4.276</v>
      </c>
      <c r="H381" s="20" t="n">
        <v>19.5</v>
      </c>
      <c r="I381" s="22" t="s">
        <v>180</v>
      </c>
      <c r="J381" s="20" t="n">
        <v>31.25</v>
      </c>
      <c r="K381" s="24" t="n">
        <f aca="false">K380+J381</f>
        <v>11745.24</v>
      </c>
      <c r="L381" s="24" t="n">
        <f aca="false">Well_Data!$B$10-K381</f>
        <v>754.760000000004</v>
      </c>
      <c r="M381" s="24" t="n">
        <f aca="false">Well_Data!$B$10-K381+J381</f>
        <v>786.010000000004</v>
      </c>
      <c r="N381" s="25" t="n">
        <f aca="false">G381^2/1029.4</f>
        <v>0.0177619739654167</v>
      </c>
      <c r="O381" s="26" t="n">
        <f aca="false">N381*J381</f>
        <v>0.555061686419273</v>
      </c>
      <c r="P381" s="25" t="n">
        <f aca="false">(F381^2-G381^2)/1029.4</f>
        <v>0.00652401787449</v>
      </c>
      <c r="Q381" s="26" t="n">
        <f aca="false">P381*J381</f>
        <v>0.203875558577812</v>
      </c>
    </row>
    <row r="382" customFormat="false" ht="15" hidden="false" customHeight="true" outlineLevel="0" collapsed="false">
      <c r="A382" s="22" t="n">
        <v>381</v>
      </c>
      <c r="B382" s="22" t="n">
        <v>374</v>
      </c>
      <c r="C382" s="22" t="n">
        <v>114</v>
      </c>
      <c r="D382" s="22" t="s">
        <v>178</v>
      </c>
      <c r="E382" s="22" t="s">
        <v>179</v>
      </c>
      <c r="F382" s="23" t="n">
        <v>5</v>
      </c>
      <c r="G382" s="23" t="n">
        <v>4.276</v>
      </c>
      <c r="H382" s="20" t="n">
        <v>19.5</v>
      </c>
      <c r="I382" s="22" t="s">
        <v>180</v>
      </c>
      <c r="J382" s="20" t="n">
        <v>31.45</v>
      </c>
      <c r="K382" s="24" t="n">
        <f aca="false">K381+J382</f>
        <v>11776.69</v>
      </c>
      <c r="L382" s="24" t="n">
        <f aca="false">Well_Data!$B$10-K382</f>
        <v>723.310000000003</v>
      </c>
      <c r="M382" s="24" t="n">
        <f aca="false">Well_Data!$B$10-K382+J382</f>
        <v>754.760000000003</v>
      </c>
      <c r="N382" s="25" t="n">
        <f aca="false">G382^2/1029.4</f>
        <v>0.0177619739654167</v>
      </c>
      <c r="O382" s="26" t="n">
        <f aca="false">N382*J382</f>
        <v>0.558614081212357</v>
      </c>
      <c r="P382" s="25" t="n">
        <f aca="false">(F382^2-G382^2)/1029.4</f>
        <v>0.00652401787449</v>
      </c>
      <c r="Q382" s="26" t="n">
        <f aca="false">P382*J382</f>
        <v>0.20518036215271</v>
      </c>
    </row>
    <row r="383" customFormat="false" ht="15" hidden="false" customHeight="true" outlineLevel="0" collapsed="false">
      <c r="A383" s="22" t="n">
        <v>382</v>
      </c>
      <c r="B383" s="22" t="n">
        <v>375</v>
      </c>
      <c r="C383" s="22" t="n">
        <v>114</v>
      </c>
      <c r="D383" s="22" t="s">
        <v>178</v>
      </c>
      <c r="E383" s="22" t="s">
        <v>179</v>
      </c>
      <c r="F383" s="23" t="n">
        <v>5</v>
      </c>
      <c r="G383" s="23" t="n">
        <v>4.276</v>
      </c>
      <c r="H383" s="20" t="n">
        <v>19.5</v>
      </c>
      <c r="I383" s="22" t="s">
        <v>180</v>
      </c>
      <c r="J383" s="20" t="n">
        <v>31.11</v>
      </c>
      <c r="K383" s="24" t="n">
        <f aca="false">K382+J383</f>
        <v>11807.8</v>
      </c>
      <c r="L383" s="24" t="n">
        <f aca="false">Well_Data!$B$10-K383</f>
        <v>692.200000000003</v>
      </c>
      <c r="M383" s="24" t="n">
        <f aca="false">Well_Data!$B$10-K383+J383</f>
        <v>723.310000000003</v>
      </c>
      <c r="N383" s="25" t="n">
        <f aca="false">G383^2/1029.4</f>
        <v>0.0177619739654167</v>
      </c>
      <c r="O383" s="26" t="n">
        <f aca="false">N383*J383</f>
        <v>0.552575010064115</v>
      </c>
      <c r="P383" s="25" t="n">
        <f aca="false">(F383^2-G383^2)/1029.4</f>
        <v>0.00652401787449</v>
      </c>
      <c r="Q383" s="26" t="n">
        <f aca="false">P383*J383</f>
        <v>0.202962196075384</v>
      </c>
    </row>
    <row r="384" customFormat="false" ht="15" hidden="false" customHeight="true" outlineLevel="0" collapsed="false">
      <c r="A384" s="22" t="n">
        <v>383</v>
      </c>
      <c r="B384" s="22" t="n">
        <v>376</v>
      </c>
      <c r="C384" s="22" t="n">
        <v>115</v>
      </c>
      <c r="D384" s="22" t="s">
        <v>178</v>
      </c>
      <c r="E384" s="22" t="s">
        <v>179</v>
      </c>
      <c r="F384" s="23" t="n">
        <v>5</v>
      </c>
      <c r="G384" s="23" t="n">
        <v>4.276</v>
      </c>
      <c r="H384" s="20" t="n">
        <v>19.5</v>
      </c>
      <c r="I384" s="22" t="s">
        <v>180</v>
      </c>
      <c r="J384" s="20" t="n">
        <v>31.38</v>
      </c>
      <c r="K384" s="24" t="n">
        <f aca="false">K383+J384</f>
        <v>11839.18</v>
      </c>
      <c r="L384" s="24" t="n">
        <f aca="false">Well_Data!$B$10-K384</f>
        <v>660.820000000003</v>
      </c>
      <c r="M384" s="24" t="n">
        <f aca="false">Well_Data!$B$10-K384+J384</f>
        <v>692.200000000003</v>
      </c>
      <c r="N384" s="25" t="n">
        <f aca="false">G384^2/1029.4</f>
        <v>0.0177619739654167</v>
      </c>
      <c r="O384" s="26" t="n">
        <f aca="false">N384*J384</f>
        <v>0.557370743034777</v>
      </c>
      <c r="P384" s="25" t="n">
        <f aca="false">(F384^2-G384^2)/1029.4</f>
        <v>0.00652401787449</v>
      </c>
      <c r="Q384" s="26" t="n">
        <f aca="false">P384*J384</f>
        <v>0.204723680901496</v>
      </c>
    </row>
    <row r="385" customFormat="false" ht="15" hidden="false" customHeight="true" outlineLevel="0" collapsed="false">
      <c r="A385" s="22" t="n">
        <v>384</v>
      </c>
      <c r="B385" s="22" t="n">
        <v>377</v>
      </c>
      <c r="C385" s="22" t="n">
        <v>115</v>
      </c>
      <c r="D385" s="22" t="s">
        <v>178</v>
      </c>
      <c r="E385" s="22" t="s">
        <v>179</v>
      </c>
      <c r="F385" s="23" t="n">
        <v>5</v>
      </c>
      <c r="G385" s="23" t="n">
        <v>4.276</v>
      </c>
      <c r="H385" s="20" t="n">
        <v>19.5</v>
      </c>
      <c r="I385" s="22" t="s">
        <v>180</v>
      </c>
      <c r="J385" s="20" t="n">
        <v>31.11</v>
      </c>
      <c r="K385" s="24" t="n">
        <f aca="false">K384+J385</f>
        <v>11870.29</v>
      </c>
      <c r="L385" s="24" t="n">
        <f aca="false">Well_Data!$B$10-K385</f>
        <v>629.710000000003</v>
      </c>
      <c r="M385" s="24" t="n">
        <f aca="false">Well_Data!$B$10-K385+J385</f>
        <v>660.820000000003</v>
      </c>
      <c r="N385" s="25" t="n">
        <f aca="false">G385^2/1029.4</f>
        <v>0.0177619739654167</v>
      </c>
      <c r="O385" s="26" t="n">
        <f aca="false">N385*J385</f>
        <v>0.552575010064115</v>
      </c>
      <c r="P385" s="25" t="n">
        <f aca="false">(F385^2-G385^2)/1029.4</f>
        <v>0.00652401787449</v>
      </c>
      <c r="Q385" s="26" t="n">
        <f aca="false">P385*J385</f>
        <v>0.202962196075384</v>
      </c>
    </row>
    <row r="386" customFormat="false" ht="15" hidden="false" customHeight="true" outlineLevel="0" collapsed="false">
      <c r="A386" s="22" t="n">
        <v>385</v>
      </c>
      <c r="B386" s="22" t="n">
        <v>378</v>
      </c>
      <c r="C386" s="22" t="n">
        <v>115</v>
      </c>
      <c r="D386" s="22" t="s">
        <v>178</v>
      </c>
      <c r="E386" s="22" t="s">
        <v>179</v>
      </c>
      <c r="F386" s="23" t="n">
        <v>5</v>
      </c>
      <c r="G386" s="23" t="n">
        <v>4.276</v>
      </c>
      <c r="H386" s="20" t="n">
        <v>19.5</v>
      </c>
      <c r="I386" s="22" t="s">
        <v>180</v>
      </c>
      <c r="J386" s="20" t="n">
        <v>31.39</v>
      </c>
      <c r="K386" s="24" t="n">
        <f aca="false">K385+J386</f>
        <v>11901.68</v>
      </c>
      <c r="L386" s="24" t="n">
        <f aca="false">Well_Data!$B$10-K386</f>
        <v>598.320000000003</v>
      </c>
      <c r="M386" s="24" t="n">
        <f aca="false">Well_Data!$B$10-K386+J386</f>
        <v>629.710000000003</v>
      </c>
      <c r="N386" s="25" t="n">
        <f aca="false">G386^2/1029.4</f>
        <v>0.0177619739654167</v>
      </c>
      <c r="O386" s="26" t="n">
        <f aca="false">N386*J386</f>
        <v>0.557548362774432</v>
      </c>
      <c r="P386" s="25" t="n">
        <f aca="false">(F386^2-G386^2)/1029.4</f>
        <v>0.00652401787449</v>
      </c>
      <c r="Q386" s="26" t="n">
        <f aca="false">P386*J386</f>
        <v>0.204788921080241</v>
      </c>
    </row>
    <row r="387" customFormat="false" ht="15" hidden="false" customHeight="true" outlineLevel="0" collapsed="false">
      <c r="A387" s="22" t="n">
        <v>386</v>
      </c>
      <c r="B387" s="22" t="n">
        <v>379</v>
      </c>
      <c r="C387" s="22" t="n">
        <v>116</v>
      </c>
      <c r="D387" s="22" t="s">
        <v>178</v>
      </c>
      <c r="E387" s="22" t="s">
        <v>179</v>
      </c>
      <c r="F387" s="23" t="n">
        <v>5</v>
      </c>
      <c r="G387" s="23" t="n">
        <v>4.276</v>
      </c>
      <c r="H387" s="20" t="n">
        <v>19.5</v>
      </c>
      <c r="I387" s="22" t="s">
        <v>180</v>
      </c>
      <c r="J387" s="20" t="n">
        <v>30.44</v>
      </c>
      <c r="K387" s="24" t="n">
        <f aca="false">K386+J387</f>
        <v>11932.12</v>
      </c>
      <c r="L387" s="24" t="n">
        <f aca="false">Well_Data!$B$10-K387</f>
        <v>567.880000000003</v>
      </c>
      <c r="M387" s="24" t="n">
        <f aca="false">Well_Data!$B$10-K387+J387</f>
        <v>598.320000000003</v>
      </c>
      <c r="N387" s="25" t="n">
        <f aca="false">G387^2/1029.4</f>
        <v>0.0177619739654167</v>
      </c>
      <c r="O387" s="26" t="n">
        <f aca="false">N387*J387</f>
        <v>0.540674487507286</v>
      </c>
      <c r="P387" s="25" t="n">
        <f aca="false">(F387^2-G387^2)/1029.4</f>
        <v>0.00652401787449</v>
      </c>
      <c r="Q387" s="26" t="n">
        <f aca="false">P387*J387</f>
        <v>0.198591104099475</v>
      </c>
    </row>
    <row r="388" customFormat="false" ht="15" hidden="false" customHeight="true" outlineLevel="0" collapsed="false">
      <c r="A388" s="22" t="n">
        <v>387</v>
      </c>
      <c r="B388" s="22" t="n">
        <v>380</v>
      </c>
      <c r="C388" s="22" t="n">
        <v>116</v>
      </c>
      <c r="D388" s="22" t="s">
        <v>178</v>
      </c>
      <c r="E388" s="22" t="s">
        <v>179</v>
      </c>
      <c r="F388" s="23" t="n">
        <v>5</v>
      </c>
      <c r="G388" s="23" t="n">
        <v>4.276</v>
      </c>
      <c r="H388" s="20" t="n">
        <v>19.5</v>
      </c>
      <c r="I388" s="22" t="s">
        <v>180</v>
      </c>
      <c r="J388" s="20" t="n">
        <v>31.41</v>
      </c>
      <c r="K388" s="24" t="n">
        <f aca="false">K387+J388</f>
        <v>11963.53</v>
      </c>
      <c r="L388" s="24" t="n">
        <f aca="false">Well_Data!$B$10-K388</f>
        <v>536.470000000003</v>
      </c>
      <c r="M388" s="24" t="n">
        <f aca="false">Well_Data!$B$10-K388+J388</f>
        <v>567.880000000003</v>
      </c>
      <c r="N388" s="25" t="n">
        <f aca="false">G388^2/1029.4</f>
        <v>0.0177619739654167</v>
      </c>
      <c r="O388" s="26" t="n">
        <f aca="false">N388*J388</f>
        <v>0.55790360225374</v>
      </c>
      <c r="P388" s="25" t="n">
        <f aca="false">(F388^2-G388^2)/1029.4</f>
        <v>0.00652401787449</v>
      </c>
      <c r="Q388" s="26" t="n">
        <f aca="false">P388*J388</f>
        <v>0.204919401437731</v>
      </c>
    </row>
    <row r="389" customFormat="false" ht="15" hidden="false" customHeight="true" outlineLevel="0" collapsed="false">
      <c r="A389" s="22" t="n">
        <v>388</v>
      </c>
      <c r="B389" s="22" t="n">
        <v>381</v>
      </c>
      <c r="C389" s="22" t="n">
        <v>116</v>
      </c>
      <c r="D389" s="22" t="s">
        <v>178</v>
      </c>
      <c r="E389" s="22" t="s">
        <v>179</v>
      </c>
      <c r="F389" s="23" t="n">
        <v>5</v>
      </c>
      <c r="G389" s="23" t="n">
        <v>4.276</v>
      </c>
      <c r="H389" s="20" t="n">
        <v>19.5</v>
      </c>
      <c r="I389" s="22" t="s">
        <v>180</v>
      </c>
      <c r="J389" s="20" t="n">
        <v>31.12</v>
      </c>
      <c r="K389" s="24" t="n">
        <f aca="false">K388+J389</f>
        <v>11994.65</v>
      </c>
      <c r="L389" s="24" t="n">
        <f aca="false">Well_Data!$B$10-K389</f>
        <v>505.350000000002</v>
      </c>
      <c r="M389" s="24" t="n">
        <f aca="false">Well_Data!$B$10-K389+J389</f>
        <v>536.470000000002</v>
      </c>
      <c r="N389" s="25" t="n">
        <f aca="false">G389^2/1029.4</f>
        <v>0.0177619739654167</v>
      </c>
      <c r="O389" s="26" t="n">
        <f aca="false">N389*J389</f>
        <v>0.552752629803769</v>
      </c>
      <c r="P389" s="25" t="n">
        <f aca="false">(F389^2-G389^2)/1029.4</f>
        <v>0.00652401787449</v>
      </c>
      <c r="Q389" s="26" t="n">
        <f aca="false">P389*J389</f>
        <v>0.203027436254129</v>
      </c>
    </row>
    <row r="390" customFormat="false" ht="15" hidden="false" customHeight="true" outlineLevel="0" collapsed="false">
      <c r="A390" s="22" t="n">
        <v>389</v>
      </c>
      <c r="B390" s="22" t="n">
        <v>382</v>
      </c>
      <c r="C390" s="22" t="n">
        <v>117</v>
      </c>
      <c r="D390" s="22" t="s">
        <v>178</v>
      </c>
      <c r="E390" s="22" t="s">
        <v>179</v>
      </c>
      <c r="F390" s="23" t="n">
        <v>5</v>
      </c>
      <c r="G390" s="23" t="n">
        <v>4.276</v>
      </c>
      <c r="H390" s="20" t="n">
        <v>19.5</v>
      </c>
      <c r="I390" s="22" t="s">
        <v>180</v>
      </c>
      <c r="J390" s="20" t="n">
        <v>31.19</v>
      </c>
      <c r="K390" s="24" t="n">
        <f aca="false">K389+J390</f>
        <v>12025.84</v>
      </c>
      <c r="L390" s="24" t="n">
        <f aca="false">Well_Data!$B$10-K390</f>
        <v>474.160000000002</v>
      </c>
      <c r="M390" s="24" t="n">
        <f aca="false">Well_Data!$B$10-K390+J390</f>
        <v>505.350000000002</v>
      </c>
      <c r="N390" s="25" t="n">
        <f aca="false">G390^2/1029.4</f>
        <v>0.0177619739654167</v>
      </c>
      <c r="O390" s="26" t="n">
        <f aca="false">N390*J390</f>
        <v>0.553995967981348</v>
      </c>
      <c r="P390" s="25" t="n">
        <f aca="false">(F390^2-G390^2)/1029.4</f>
        <v>0.00652401787449</v>
      </c>
      <c r="Q390" s="26" t="n">
        <f aca="false">P390*J390</f>
        <v>0.203484117505343</v>
      </c>
    </row>
    <row r="391" customFormat="false" ht="15" hidden="false" customHeight="true" outlineLevel="0" collapsed="false">
      <c r="A391" s="22" t="n">
        <v>390</v>
      </c>
      <c r="B391" s="22" t="n">
        <v>383</v>
      </c>
      <c r="C391" s="22" t="n">
        <v>117</v>
      </c>
      <c r="D391" s="22" t="s">
        <v>178</v>
      </c>
      <c r="E391" s="22" t="s">
        <v>179</v>
      </c>
      <c r="F391" s="23" t="n">
        <v>5</v>
      </c>
      <c r="G391" s="23" t="n">
        <v>4.276</v>
      </c>
      <c r="H391" s="20" t="n">
        <v>19.5</v>
      </c>
      <c r="I391" s="22" t="s">
        <v>180</v>
      </c>
      <c r="J391" s="20" t="n">
        <v>31.42</v>
      </c>
      <c r="K391" s="24" t="n">
        <f aca="false">K390+J391</f>
        <v>12057.26</v>
      </c>
      <c r="L391" s="24" t="n">
        <f aca="false">Well_Data!$B$10-K391</f>
        <v>442.740000000002</v>
      </c>
      <c r="M391" s="24" t="n">
        <f aca="false">Well_Data!$B$10-K391+J391</f>
        <v>474.160000000002</v>
      </c>
      <c r="N391" s="25" t="n">
        <f aca="false">G391^2/1029.4</f>
        <v>0.0177619739654167</v>
      </c>
      <c r="O391" s="26" t="n">
        <f aca="false">N391*J391</f>
        <v>0.558081221993394</v>
      </c>
      <c r="P391" s="25" t="n">
        <f aca="false">(F391^2-G391^2)/1029.4</f>
        <v>0.00652401787449</v>
      </c>
      <c r="Q391" s="26" t="n">
        <f aca="false">P391*J391</f>
        <v>0.204984641616476</v>
      </c>
    </row>
    <row r="392" customFormat="false" ht="15" hidden="false" customHeight="true" outlineLevel="0" collapsed="false">
      <c r="A392" s="22" t="n">
        <v>391</v>
      </c>
      <c r="B392" s="22" t="n">
        <v>384</v>
      </c>
      <c r="C392" s="22" t="n">
        <v>117</v>
      </c>
      <c r="D392" s="22" t="s">
        <v>178</v>
      </c>
      <c r="E392" s="22" t="s">
        <v>179</v>
      </c>
      <c r="F392" s="23" t="n">
        <v>5</v>
      </c>
      <c r="G392" s="23" t="n">
        <v>4.276</v>
      </c>
      <c r="H392" s="20" t="n">
        <v>19.5</v>
      </c>
      <c r="I392" s="22" t="s">
        <v>180</v>
      </c>
      <c r="J392" s="20" t="n">
        <v>31.51</v>
      </c>
      <c r="K392" s="24" t="n">
        <f aca="false">K391+J392</f>
        <v>12088.77</v>
      </c>
      <c r="L392" s="24" t="n">
        <f aca="false">Well_Data!$B$10-K392</f>
        <v>411.230000000001</v>
      </c>
      <c r="M392" s="24" t="n">
        <f aca="false">Well_Data!$B$10-K392+J392</f>
        <v>442.740000000001</v>
      </c>
      <c r="N392" s="25" t="n">
        <f aca="false">G392^2/1029.4</f>
        <v>0.0177619739654167</v>
      </c>
      <c r="O392" s="26" t="n">
        <f aca="false">N392*J392</f>
        <v>0.559679799650282</v>
      </c>
      <c r="P392" s="25" t="n">
        <f aca="false">(F392^2-G392^2)/1029.4</f>
        <v>0.00652401787449</v>
      </c>
      <c r="Q392" s="26" t="n">
        <f aca="false">P392*J392</f>
        <v>0.20557180322518</v>
      </c>
    </row>
    <row r="393" customFormat="false" ht="15" hidden="false" customHeight="true" outlineLevel="0" collapsed="false">
      <c r="A393" s="22" t="n">
        <v>392</v>
      </c>
      <c r="B393" s="22" t="n">
        <v>385</v>
      </c>
      <c r="C393" s="22" t="n">
        <v>118</v>
      </c>
      <c r="D393" s="22" t="s">
        <v>178</v>
      </c>
      <c r="E393" s="22" t="s">
        <v>179</v>
      </c>
      <c r="F393" s="23" t="n">
        <v>5</v>
      </c>
      <c r="G393" s="23" t="n">
        <v>4.276</v>
      </c>
      <c r="H393" s="20" t="n">
        <v>19.5</v>
      </c>
      <c r="I393" s="22" t="s">
        <v>180</v>
      </c>
      <c r="J393" s="20" t="n">
        <v>31.1</v>
      </c>
      <c r="K393" s="24" t="n">
        <f aca="false">K392+J393</f>
        <v>12119.87</v>
      </c>
      <c r="L393" s="24" t="n">
        <f aca="false">Well_Data!$B$10-K393</f>
        <v>380.130000000001</v>
      </c>
      <c r="M393" s="24" t="n">
        <f aca="false">Well_Data!$B$10-K393+J393</f>
        <v>411.230000000001</v>
      </c>
      <c r="N393" s="25" t="n">
        <f aca="false">G393^2/1029.4</f>
        <v>0.0177619739654167</v>
      </c>
      <c r="O393" s="26" t="n">
        <f aca="false">N393*J393</f>
        <v>0.552397390324461</v>
      </c>
      <c r="P393" s="25" t="n">
        <f aca="false">(F393^2-G393^2)/1029.4</f>
        <v>0.00652401787449</v>
      </c>
      <c r="Q393" s="26" t="n">
        <f aca="false">P393*J393</f>
        <v>0.202896955896639</v>
      </c>
    </row>
    <row r="394" customFormat="false" ht="15" hidden="false" customHeight="true" outlineLevel="0" collapsed="false">
      <c r="A394" s="22" t="n">
        <v>393</v>
      </c>
      <c r="B394" s="22" t="n">
        <v>386</v>
      </c>
      <c r="C394" s="22" t="n">
        <v>118</v>
      </c>
      <c r="D394" s="22" t="s">
        <v>178</v>
      </c>
      <c r="E394" s="22" t="s">
        <v>179</v>
      </c>
      <c r="F394" s="23" t="n">
        <v>5</v>
      </c>
      <c r="G394" s="23" t="n">
        <v>4.276</v>
      </c>
      <c r="H394" s="20" t="n">
        <v>19.5</v>
      </c>
      <c r="I394" s="22" t="s">
        <v>180</v>
      </c>
      <c r="J394" s="20" t="n">
        <v>31</v>
      </c>
      <c r="K394" s="24" t="n">
        <f aca="false">K393+J394</f>
        <v>12150.87</v>
      </c>
      <c r="L394" s="24" t="n">
        <f aca="false">Well_Data!$B$10-K394</f>
        <v>349.130000000001</v>
      </c>
      <c r="M394" s="24" t="n">
        <f aca="false">Well_Data!$B$10-K394+J394</f>
        <v>380.130000000001</v>
      </c>
      <c r="N394" s="25" t="n">
        <f aca="false">G394^2/1029.4</f>
        <v>0.0177619739654167</v>
      </c>
      <c r="O394" s="26" t="n">
        <f aca="false">N394*J394</f>
        <v>0.550621192927919</v>
      </c>
      <c r="P394" s="25" t="n">
        <f aca="false">(F394^2-G394^2)/1029.4</f>
        <v>0.00652401787449</v>
      </c>
      <c r="Q394" s="26" t="n">
        <f aca="false">P394*J394</f>
        <v>0.20224455410919</v>
      </c>
    </row>
    <row r="395" customFormat="false" ht="15" hidden="false" customHeight="true" outlineLevel="0" collapsed="false">
      <c r="A395" s="22" t="n">
        <v>394</v>
      </c>
      <c r="B395" s="22" t="n">
        <v>387</v>
      </c>
      <c r="C395" s="22" t="n">
        <v>118</v>
      </c>
      <c r="D395" s="22" t="s">
        <v>178</v>
      </c>
      <c r="E395" s="22" t="s">
        <v>179</v>
      </c>
      <c r="F395" s="23" t="n">
        <v>5</v>
      </c>
      <c r="G395" s="23" t="n">
        <v>4.276</v>
      </c>
      <c r="H395" s="20" t="n">
        <v>19.5</v>
      </c>
      <c r="I395" s="22" t="s">
        <v>180</v>
      </c>
      <c r="J395" s="20" t="n">
        <v>31.32</v>
      </c>
      <c r="K395" s="24" t="n">
        <f aca="false">K394+J395</f>
        <v>12182.19</v>
      </c>
      <c r="L395" s="24" t="n">
        <f aca="false">Well_Data!$B$10-K395</f>
        <v>317.810000000001</v>
      </c>
      <c r="M395" s="24" t="n">
        <f aca="false">Well_Data!$B$10-K395+J395</f>
        <v>349.130000000001</v>
      </c>
      <c r="N395" s="25" t="n">
        <f aca="false">G395^2/1029.4</f>
        <v>0.0177619739654167</v>
      </c>
      <c r="O395" s="26" t="n">
        <f aca="false">N395*J395</f>
        <v>0.556305024596852</v>
      </c>
      <c r="P395" s="25" t="n">
        <f aca="false">(F395^2-G395^2)/1029.4</f>
        <v>0.00652401787449</v>
      </c>
      <c r="Q395" s="26" t="n">
        <f aca="false">P395*J395</f>
        <v>0.204332239829027</v>
      </c>
    </row>
    <row r="396" customFormat="false" ht="15" hidden="false" customHeight="true" outlineLevel="0" collapsed="false">
      <c r="A396" s="22" t="n">
        <v>395</v>
      </c>
      <c r="B396" s="22" t="n">
        <v>388</v>
      </c>
      <c r="C396" s="22" t="n">
        <v>119</v>
      </c>
      <c r="D396" s="22" t="s">
        <v>178</v>
      </c>
      <c r="E396" s="22" t="s">
        <v>179</v>
      </c>
      <c r="F396" s="23" t="n">
        <v>5</v>
      </c>
      <c r="G396" s="23" t="n">
        <v>4.276</v>
      </c>
      <c r="H396" s="20" t="n">
        <v>19.5</v>
      </c>
      <c r="I396" s="22" t="s">
        <v>180</v>
      </c>
      <c r="J396" s="20" t="n">
        <v>31.09</v>
      </c>
      <c r="K396" s="24" t="n">
        <f aca="false">K395+J396</f>
        <v>12213.28</v>
      </c>
      <c r="L396" s="24" t="n">
        <f aca="false">Well_Data!$B$10-K396</f>
        <v>286.720000000001</v>
      </c>
      <c r="M396" s="24" t="n">
        <f aca="false">Well_Data!$B$10-K396+J396</f>
        <v>317.810000000001</v>
      </c>
      <c r="N396" s="25" t="n">
        <f aca="false">G396^2/1029.4</f>
        <v>0.0177619739654167</v>
      </c>
      <c r="O396" s="26" t="n">
        <f aca="false">N396*J396</f>
        <v>0.552219770584807</v>
      </c>
      <c r="P396" s="25" t="n">
        <f aca="false">(F396^2-G396^2)/1029.4</f>
        <v>0.00652401787449</v>
      </c>
      <c r="Q396" s="26" t="n">
        <f aca="false">P396*J396</f>
        <v>0.202831715717894</v>
      </c>
    </row>
    <row r="397" customFormat="false" ht="15" hidden="false" customHeight="true" outlineLevel="0" collapsed="false">
      <c r="A397" s="22" t="n">
        <v>396</v>
      </c>
      <c r="B397" s="22" t="n">
        <v>389</v>
      </c>
      <c r="C397" s="22" t="n">
        <v>119</v>
      </c>
      <c r="D397" s="22" t="s">
        <v>178</v>
      </c>
      <c r="E397" s="22" t="s">
        <v>179</v>
      </c>
      <c r="F397" s="23" t="n">
        <v>5</v>
      </c>
      <c r="G397" s="23" t="n">
        <v>4.276</v>
      </c>
      <c r="H397" s="20" t="n">
        <v>19.5</v>
      </c>
      <c r="I397" s="22" t="s">
        <v>180</v>
      </c>
      <c r="J397" s="20" t="n">
        <v>31.47</v>
      </c>
      <c r="K397" s="24" t="n">
        <f aca="false">K396+J397</f>
        <v>12244.75</v>
      </c>
      <c r="L397" s="24" t="n">
        <f aca="false">Well_Data!$B$10-K397</f>
        <v>255.250000000002</v>
      </c>
      <c r="M397" s="24" t="n">
        <f aca="false">Well_Data!$B$10-K397+J397</f>
        <v>286.720000000002</v>
      </c>
      <c r="N397" s="25" t="n">
        <f aca="false">G397^2/1029.4</f>
        <v>0.0177619739654167</v>
      </c>
      <c r="O397" s="26" t="n">
        <f aca="false">N397*J397</f>
        <v>0.558969320691665</v>
      </c>
      <c r="P397" s="25" t="n">
        <f aca="false">(F397^2-G397^2)/1029.4</f>
        <v>0.00652401787449</v>
      </c>
      <c r="Q397" s="26" t="n">
        <f aca="false">P397*J397</f>
        <v>0.2053108425102</v>
      </c>
    </row>
    <row r="398" customFormat="false" ht="15" hidden="false" customHeight="true" outlineLevel="0" collapsed="false">
      <c r="A398" s="22" t="n">
        <v>397</v>
      </c>
      <c r="B398" s="22" t="n">
        <v>390</v>
      </c>
      <c r="C398" s="22" t="n">
        <v>119</v>
      </c>
      <c r="D398" s="22" t="s">
        <v>178</v>
      </c>
      <c r="E398" s="22" t="s">
        <v>179</v>
      </c>
      <c r="F398" s="23" t="n">
        <v>5</v>
      </c>
      <c r="G398" s="23" t="n">
        <v>4.276</v>
      </c>
      <c r="H398" s="20" t="n">
        <v>19.5</v>
      </c>
      <c r="I398" s="22" t="s">
        <v>180</v>
      </c>
      <c r="J398" s="20" t="n">
        <v>31.3</v>
      </c>
      <c r="K398" s="24" t="n">
        <f aca="false">K397+J398</f>
        <v>12276.05</v>
      </c>
      <c r="L398" s="24" t="n">
        <f aca="false">Well_Data!$B$10-K398</f>
        <v>223.950000000003</v>
      </c>
      <c r="M398" s="24" t="n">
        <f aca="false">Well_Data!$B$10-K398+J398</f>
        <v>255.250000000003</v>
      </c>
      <c r="N398" s="25" t="n">
        <f aca="false">G398^2/1029.4</f>
        <v>0.0177619739654167</v>
      </c>
      <c r="O398" s="26" t="n">
        <f aca="false">N398*J398</f>
        <v>0.555949785117544</v>
      </c>
      <c r="P398" s="25" t="n">
        <f aca="false">(F398^2-G398^2)/1029.4</f>
        <v>0.00652401787449</v>
      </c>
      <c r="Q398" s="26" t="n">
        <f aca="false">P398*J398</f>
        <v>0.204201759471537</v>
      </c>
    </row>
    <row r="399" customFormat="false" ht="15" hidden="false" customHeight="true" outlineLevel="0" collapsed="false">
      <c r="A399" s="22" t="n">
        <v>398</v>
      </c>
      <c r="B399" s="22" t="n">
        <v>391</v>
      </c>
      <c r="C399" s="22" t="n">
        <v>120</v>
      </c>
      <c r="D399" s="22" t="s">
        <v>178</v>
      </c>
      <c r="E399" s="22" t="s">
        <v>179</v>
      </c>
      <c r="F399" s="23" t="n">
        <v>5</v>
      </c>
      <c r="G399" s="23" t="n">
        <v>4.276</v>
      </c>
      <c r="H399" s="20" t="n">
        <v>19.5</v>
      </c>
      <c r="I399" s="22" t="s">
        <v>180</v>
      </c>
      <c r="J399" s="20" t="n">
        <v>31.09</v>
      </c>
      <c r="K399" s="24" t="n">
        <f aca="false">K398+J399</f>
        <v>12307.14</v>
      </c>
      <c r="L399" s="24" t="n">
        <f aca="false">Well_Data!$B$10-K399</f>
        <v>192.860000000002</v>
      </c>
      <c r="M399" s="24" t="n">
        <f aca="false">Well_Data!$B$10-K399+J399</f>
        <v>223.950000000002</v>
      </c>
      <c r="N399" s="25" t="n">
        <f aca="false">G399^2/1029.4</f>
        <v>0.0177619739654167</v>
      </c>
      <c r="O399" s="26" t="n">
        <f aca="false">N399*J399</f>
        <v>0.552219770584807</v>
      </c>
      <c r="P399" s="25" t="n">
        <f aca="false">(F399^2-G399^2)/1029.4</f>
        <v>0.00652401787449</v>
      </c>
      <c r="Q399" s="26" t="n">
        <f aca="false">P399*J399</f>
        <v>0.202831715717894</v>
      </c>
    </row>
    <row r="400" customFormat="false" ht="15" hidden="false" customHeight="true" outlineLevel="0" collapsed="false">
      <c r="A400" s="22" t="n">
        <v>399</v>
      </c>
      <c r="B400" s="22" t="n">
        <v>392</v>
      </c>
      <c r="C400" s="22" t="n">
        <v>120</v>
      </c>
      <c r="D400" s="22" t="s">
        <v>178</v>
      </c>
      <c r="E400" s="22" t="s">
        <v>179</v>
      </c>
      <c r="F400" s="23" t="n">
        <v>5</v>
      </c>
      <c r="G400" s="23" t="n">
        <v>4.276</v>
      </c>
      <c r="H400" s="20" t="n">
        <v>19.5</v>
      </c>
      <c r="I400" s="22" t="s">
        <v>180</v>
      </c>
      <c r="J400" s="20" t="n">
        <v>31.44</v>
      </c>
      <c r="K400" s="24" t="n">
        <f aca="false">K399+J400</f>
        <v>12338.58</v>
      </c>
      <c r="L400" s="24" t="n">
        <f aca="false">Well_Data!$B$10-K400</f>
        <v>161.420000000002</v>
      </c>
      <c r="M400" s="24" t="n">
        <f aca="false">Well_Data!$B$10-K400+J400</f>
        <v>192.860000000002</v>
      </c>
      <c r="N400" s="25" t="n">
        <f aca="false">G400^2/1029.4</f>
        <v>0.0177619739654167</v>
      </c>
      <c r="O400" s="26" t="n">
        <f aca="false">N400*J400</f>
        <v>0.558436461472702</v>
      </c>
      <c r="P400" s="25" t="n">
        <f aca="false">(F400^2-G400^2)/1029.4</f>
        <v>0.00652401787449</v>
      </c>
      <c r="Q400" s="26" t="n">
        <f aca="false">P400*J400</f>
        <v>0.205115121973965</v>
      </c>
    </row>
    <row r="401" customFormat="false" ht="15" hidden="false" customHeight="true" outlineLevel="0" collapsed="false">
      <c r="A401" s="22" t="n">
        <v>400</v>
      </c>
      <c r="B401" s="22" t="n">
        <v>393</v>
      </c>
      <c r="C401" s="22" t="n">
        <v>120</v>
      </c>
      <c r="D401" s="22" t="s">
        <v>178</v>
      </c>
      <c r="E401" s="22" t="s">
        <v>179</v>
      </c>
      <c r="F401" s="23" t="n">
        <v>5</v>
      </c>
      <c r="G401" s="23" t="n">
        <v>4.276</v>
      </c>
      <c r="H401" s="20" t="n">
        <v>19.5</v>
      </c>
      <c r="I401" s="22" t="s">
        <v>180</v>
      </c>
      <c r="J401" s="20" t="n">
        <v>31.52</v>
      </c>
      <c r="K401" s="24" t="n">
        <f aca="false">K400+J401</f>
        <v>12370.1</v>
      </c>
      <c r="L401" s="24" t="n">
        <f aca="false">Well_Data!$B$10-K401</f>
        <v>129.900000000001</v>
      </c>
      <c r="M401" s="24" t="n">
        <f aca="false">Well_Data!$B$10-K401+J401</f>
        <v>161.420000000001</v>
      </c>
      <c r="N401" s="25" t="n">
        <f aca="false">G401^2/1029.4</f>
        <v>0.0177619739654167</v>
      </c>
      <c r="O401" s="26" t="n">
        <f aca="false">N401*J401</f>
        <v>0.559857419389936</v>
      </c>
      <c r="P401" s="25" t="n">
        <f aca="false">(F401^2-G401^2)/1029.4</f>
        <v>0.00652401787449</v>
      </c>
      <c r="Q401" s="26" t="n">
        <f aca="false">P401*J401</f>
        <v>0.205637043403925</v>
      </c>
    </row>
    <row r="402" customFormat="false" ht="15" hidden="false" customHeight="true" outlineLevel="0" collapsed="false">
      <c r="A402" s="22" t="n">
        <v>401</v>
      </c>
      <c r="B402" s="22" t="n">
        <v>394</v>
      </c>
      <c r="C402" s="22" t="n">
        <v>121</v>
      </c>
      <c r="D402" s="22" t="s">
        <v>178</v>
      </c>
      <c r="E402" s="22" t="s">
        <v>179</v>
      </c>
      <c r="F402" s="23" t="n">
        <v>5</v>
      </c>
      <c r="G402" s="23" t="n">
        <v>4.276</v>
      </c>
      <c r="H402" s="20" t="n">
        <v>19.5</v>
      </c>
      <c r="I402" s="22" t="s">
        <v>180</v>
      </c>
      <c r="J402" s="20" t="n">
        <v>31.3</v>
      </c>
      <c r="K402" s="24" t="n">
        <f aca="false">K401+J402</f>
        <v>12401.4</v>
      </c>
      <c r="L402" s="24" t="n">
        <f aca="false">Well_Data!$B$10-K402</f>
        <v>98.6000000000022</v>
      </c>
      <c r="M402" s="24" t="n">
        <f aca="false">Well_Data!$B$10-K402+J402</f>
        <v>129.900000000002</v>
      </c>
      <c r="N402" s="25" t="n">
        <f aca="false">G402^2/1029.4</f>
        <v>0.0177619739654167</v>
      </c>
      <c r="O402" s="26" t="n">
        <f aca="false">N402*J402</f>
        <v>0.555949785117544</v>
      </c>
      <c r="P402" s="25" t="n">
        <f aca="false">(F402^2-G402^2)/1029.4</f>
        <v>0.00652401787449</v>
      </c>
      <c r="Q402" s="26" t="n">
        <f aca="false">P402*J402</f>
        <v>0.204201759471537</v>
      </c>
    </row>
    <row r="403" customFormat="false" ht="15" hidden="false" customHeight="true" outlineLevel="0" collapsed="false">
      <c r="A403" s="22" t="n">
        <v>402</v>
      </c>
      <c r="B403" s="22" t="n">
        <v>395</v>
      </c>
      <c r="C403" s="22" t="n">
        <v>121</v>
      </c>
      <c r="D403" s="22" t="s">
        <v>178</v>
      </c>
      <c r="E403" s="22" t="s">
        <v>179</v>
      </c>
      <c r="F403" s="23" t="n">
        <v>5</v>
      </c>
      <c r="G403" s="23" t="n">
        <v>4.276</v>
      </c>
      <c r="H403" s="20" t="n">
        <v>19.5</v>
      </c>
      <c r="I403" s="22" t="s">
        <v>180</v>
      </c>
      <c r="J403" s="20" t="n">
        <v>31.36</v>
      </c>
      <c r="K403" s="24" t="n">
        <f aca="false">K402+J403</f>
        <v>12432.76</v>
      </c>
      <c r="L403" s="24" t="n">
        <f aca="false">Well_Data!$B$10-K403</f>
        <v>67.2400000000016</v>
      </c>
      <c r="M403" s="24" t="n">
        <f aca="false">Well_Data!$B$10-K403+J403</f>
        <v>98.6000000000016</v>
      </c>
      <c r="N403" s="25" t="n">
        <f aca="false">G403^2/1029.4</f>
        <v>0.0177619739654167</v>
      </c>
      <c r="O403" s="26" t="n">
        <f aca="false">N403*J403</f>
        <v>0.557015503555469</v>
      </c>
      <c r="P403" s="25" t="n">
        <f aca="false">(F403^2-G403^2)/1029.4</f>
        <v>0.00652401787449</v>
      </c>
      <c r="Q403" s="26" t="n">
        <f aca="false">P403*J403</f>
        <v>0.204593200544006</v>
      </c>
    </row>
    <row r="404" customFormat="false" ht="15" hidden="false" customHeight="true" outlineLevel="0" collapsed="false">
      <c r="A404" s="22" t="n">
        <v>403</v>
      </c>
      <c r="B404" s="22" t="n">
        <v>396</v>
      </c>
      <c r="C404" s="22" t="n">
        <v>121</v>
      </c>
      <c r="D404" s="22" t="s">
        <v>178</v>
      </c>
      <c r="E404" s="22" t="s">
        <v>179</v>
      </c>
      <c r="F404" s="23" t="n">
        <v>5</v>
      </c>
      <c r="G404" s="23" t="n">
        <v>4.276</v>
      </c>
      <c r="H404" s="20" t="n">
        <v>19.5</v>
      </c>
      <c r="I404" s="22" t="s">
        <v>180</v>
      </c>
      <c r="J404" s="20" t="n">
        <v>31.18</v>
      </c>
      <c r="K404" s="24" t="n">
        <f aca="false">K403+J404</f>
        <v>12463.94</v>
      </c>
      <c r="L404" s="24" t="n">
        <f aca="false">Well_Data!$B$10-K404</f>
        <v>36.0600000000013</v>
      </c>
      <c r="M404" s="24" t="n">
        <f aca="false">Well_Data!$B$10-K404+J404</f>
        <v>67.2400000000013</v>
      </c>
      <c r="N404" s="25" t="n">
        <f aca="false">G404^2/1029.4</f>
        <v>0.0177619739654167</v>
      </c>
      <c r="O404" s="26" t="n">
        <f aca="false">N404*J404</f>
        <v>0.553818348241694</v>
      </c>
      <c r="P404" s="25" t="n">
        <f aca="false">(F404^2-G404^2)/1029.4</f>
        <v>0.00652401787449</v>
      </c>
      <c r="Q404" s="26" t="n">
        <f aca="false">P404*J404</f>
        <v>0.203418877326598</v>
      </c>
    </row>
    <row r="405" customFormat="false" ht="15" hidden="false" customHeight="true" outlineLevel="0" collapsed="false">
      <c r="A405" s="22" t="n">
        <v>404</v>
      </c>
      <c r="B405" s="22" t="n">
        <v>397</v>
      </c>
      <c r="C405" s="22" t="n">
        <v>122</v>
      </c>
      <c r="D405" s="22" t="s">
        <v>178</v>
      </c>
      <c r="E405" s="22" t="s">
        <v>179</v>
      </c>
      <c r="F405" s="23" t="n">
        <v>5</v>
      </c>
      <c r="G405" s="23" t="n">
        <v>4.276</v>
      </c>
      <c r="H405" s="20" t="n">
        <v>19.5</v>
      </c>
      <c r="I405" s="22" t="s">
        <v>180</v>
      </c>
      <c r="J405" s="20" t="n">
        <v>30.99</v>
      </c>
      <c r="K405" s="24" t="n">
        <f aca="false">K404+J405</f>
        <v>12494.93</v>
      </c>
      <c r="L405" s="24" t="n">
        <f aca="false">Well_Data!$B$10-K405</f>
        <v>5.07000000000153</v>
      </c>
      <c r="M405" s="24" t="n">
        <f aca="false">Well_Data!$B$10-K405+J405</f>
        <v>36.0600000000015</v>
      </c>
      <c r="N405" s="25" t="n">
        <f aca="false">G405^2/1029.4</f>
        <v>0.0177619739654167</v>
      </c>
      <c r="O405" s="26" t="n">
        <f aca="false">N405*J405</f>
        <v>0.550443573188265</v>
      </c>
      <c r="P405" s="25" t="n">
        <f aca="false">(F405^2-G405^2)/1029.4</f>
        <v>0.00652401787449</v>
      </c>
      <c r="Q405" s="26" t="n">
        <f aca="false">P405*J405</f>
        <v>0.202179313930445</v>
      </c>
    </row>
    <row r="406" customFormat="false" ht="15" hidden="false" customHeight="true" outlineLevel="0" collapsed="false">
      <c r="A406" s="22" t="n">
        <v>405</v>
      </c>
      <c r="B406" s="22" t="n">
        <v>398</v>
      </c>
      <c r="C406" s="22"/>
      <c r="D406" s="22" t="s">
        <v>181</v>
      </c>
      <c r="E406" s="22" t="s">
        <v>182</v>
      </c>
      <c r="F406" s="23" t="n">
        <v>5</v>
      </c>
      <c r="G406" s="23" t="n">
        <v>4.276</v>
      </c>
      <c r="H406" s="20" t="n">
        <v>19.5</v>
      </c>
      <c r="I406" s="22" t="s">
        <v>180</v>
      </c>
      <c r="J406" s="20" t="n">
        <v>5.07</v>
      </c>
      <c r="K406" s="24" t="n">
        <f aca="false">K405+J406</f>
        <v>12500</v>
      </c>
      <c r="L406" s="24" t="n">
        <f aca="false">Well_Data!$B$10-K406</f>
        <v>0</v>
      </c>
      <c r="M406" s="24" t="n">
        <f aca="false">Well_Data!$B$10-K406+J406</f>
        <v>5.07</v>
      </c>
      <c r="N406" s="25" t="n">
        <f aca="false">G406^2/1029.4</f>
        <v>0.0177619739654167</v>
      </c>
      <c r="O406" s="26" t="n">
        <f aca="false">N406*J406</f>
        <v>0.0900532080046629</v>
      </c>
      <c r="P406" s="25" t="n">
        <f aca="false">(F406^2-G406^2)/1029.4</f>
        <v>0.00652401787449</v>
      </c>
      <c r="Q406" s="26" t="n">
        <f aca="false">P406*J406</f>
        <v>0.0330767706236643</v>
      </c>
    </row>
    <row r="407" customFormat="false" ht="15" hidden="false" customHeight="true" outlineLevel="0" collapsed="false">
      <c r="D407" s="27" t="s">
        <v>183</v>
      </c>
      <c r="J407" s="28" t="n">
        <f aca="false">SUM(J2:J406)</f>
        <v>12500</v>
      </c>
      <c r="O407" s="28" t="n">
        <f aca="false">SUM(O2:O406)</f>
        <v>211.354611618924</v>
      </c>
      <c r="Q407" s="28" t="n">
        <f aca="false">SUM(Q2:Q406)</f>
        <v>102.285582304721</v>
      </c>
    </row>
    <row r="409" customFormat="false" ht="15" hidden="false" customHeight="true" outlineLevel="0" collapsed="false">
      <c r="D409" s="3" t="s">
        <v>184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13"/>
    <col collapsed="false" customWidth="true" hidden="false" outlineLevel="0" max="3" min="3" style="1" width="12"/>
  </cols>
  <sheetData>
    <row r="1" customFormat="false" ht="34.5" hidden="false" customHeight="true" outlineLevel="0" collapsed="false">
      <c r="A1" s="21" t="s">
        <v>185</v>
      </c>
      <c r="B1" s="21" t="s">
        <v>186</v>
      </c>
      <c r="C1" s="21" t="s">
        <v>187</v>
      </c>
      <c r="D1" s="21" t="s">
        <v>188</v>
      </c>
      <c r="E1" s="21" t="s">
        <v>189</v>
      </c>
      <c r="F1" s="21" t="s">
        <v>190</v>
      </c>
      <c r="G1" s="21" t="s">
        <v>191</v>
      </c>
      <c r="H1" s="21" t="s">
        <v>192</v>
      </c>
      <c r="I1" s="21" t="s">
        <v>193</v>
      </c>
      <c r="J1" s="21" t="s">
        <v>194</v>
      </c>
      <c r="K1" s="21" t="s">
        <v>195</v>
      </c>
    </row>
    <row r="2" customFormat="false" ht="15" hidden="false" customHeight="true" outlineLevel="0" collapsed="false">
      <c r="A2" s="20" t="n">
        <v>0</v>
      </c>
      <c r="B2" s="20" t="n">
        <v>0</v>
      </c>
      <c r="C2" s="20" t="n">
        <v>0</v>
      </c>
      <c r="D2" s="24" t="n">
        <v>0</v>
      </c>
      <c r="E2" s="24" t="n">
        <v>0</v>
      </c>
      <c r="F2" s="24" t="n">
        <v>0</v>
      </c>
      <c r="G2" s="24" t="n">
        <v>0</v>
      </c>
      <c r="H2" s="24" t="n">
        <v>0</v>
      </c>
      <c r="I2" s="24" t="n">
        <f aca="false">J2*COS(RADIANS(K2-Well_Data!$B$68))</f>
        <v>-0</v>
      </c>
      <c r="J2" s="24" t="n">
        <f aca="false">SQRT(E2^2+F2^2)</f>
        <v>0</v>
      </c>
      <c r="K2" s="24" t="n">
        <f aca="false">IF(J2=0,0,MOD(DEGREES(ATAN2(E2,F2)),360))</f>
        <v>0</v>
      </c>
    </row>
    <row r="3" customFormat="false" ht="15" hidden="false" customHeight="true" outlineLevel="0" collapsed="false">
      <c r="A3" s="20" t="n">
        <v>200</v>
      </c>
      <c r="B3" s="20" t="n">
        <v>0</v>
      </c>
      <c r="C3" s="20" t="n">
        <v>0</v>
      </c>
      <c r="D3" s="24" t="n">
        <f aca="false">D2+(A3-A2)/2*(COS(RADIANS(B2))+COS(RADIANS(B3)))*(IF(ACOS(MIN(1,MAX(-1,COS(RADIANS(B3-B2))-SIN(RADIANS(B2))*SIN(RADIANS(B3))*(1-COS(RADIANS(C3-C2))))))=0,1,2/(ACOS(MIN(1,MAX(-1,COS(RADIANS(B3-B2))-SIN(RADIANS(B2))*SIN(RADIANS(B3))*(1-COS(RADIANS(C3-C2)))))))*TAN((ACOS(MIN(1,MAX(-1,COS(RADIANS(B3-B2))-SIN(RADIANS(B2))*SIN(RADIANS(B3))*(1-COS(RADIANS(C3-C2)))))))/2)))</f>
        <v>200</v>
      </c>
      <c r="E3" s="24" t="n">
        <f aca="false">E2+(A3-A2)/2*(SIN(RADIANS(B2))*COS(RADIANS(C2))+SIN(RADIANS(B3))*COS(RADIANS(C3)))*(IF(ACOS(MIN(1,MAX(-1,COS(RADIANS(B3-B2))-SIN(RADIANS(B2))*SIN(RADIANS(B3))*(1-COS(RADIANS(C3-C2))))))=0,1,2/(ACOS(MIN(1,MAX(-1,COS(RADIANS(B3-B2))-SIN(RADIANS(B2))*SIN(RADIANS(B3))*(1-COS(RADIANS(C3-C2)))))))*TAN((ACOS(MIN(1,MAX(-1,COS(RADIANS(B3-B2))-SIN(RADIANS(B2))*SIN(RADIANS(B3))*(1-COS(RADIANS(C3-C2)))))))/2)))</f>
        <v>0</v>
      </c>
      <c r="F3" s="24" t="n">
        <f aca="false">F2+(A3-A2)/2*(SIN(RADIANS(B2))*SIN(RADIANS(C2))+SIN(RADIANS(B3))*SIN(RADIANS(C3)))*(IF(ACOS(MIN(1,MAX(-1,COS(RADIANS(B3-B2))-SIN(RADIANS(B2))*SIN(RADIANS(B3))*(1-COS(RADIANS(C3-C2))))))=0,1,2/(ACOS(MIN(1,MAX(-1,COS(RADIANS(B3-B2))-SIN(RADIANS(B2))*SIN(RADIANS(B3))*(1-COS(RADIANS(C3-C2)))))))*TAN((ACOS(MIN(1,MAX(-1,COS(RADIANS(B3-B2))-SIN(RADIANS(B2))*SIN(RADIANS(B3))*(1-COS(RADIANS(C3-C2)))))))/2)))</f>
        <v>0</v>
      </c>
      <c r="G3" s="24" t="n">
        <f aca="false">IF(H3=0,0,DEGREES(ACOS(MIN(1,MAX(-1,COS(RADIANS(B3-B2))-SIN(RADIANS(B2))*SIN(RADIANS(B3))*(1-COS(RADIANS(C3-C2)))))))*100/H3)</f>
        <v>0</v>
      </c>
      <c r="H3" s="24" t="n">
        <f aca="false">A3-A2</f>
        <v>200</v>
      </c>
      <c r="I3" s="24" t="n">
        <f aca="false">J3*COS(RADIANS(K3-Well_Data!$B$68))</f>
        <v>-0</v>
      </c>
      <c r="J3" s="24" t="n">
        <f aca="false">SQRT(E3^2+F3^2)</f>
        <v>0</v>
      </c>
      <c r="K3" s="24" t="n">
        <f aca="false">IF(J3=0,0,MOD(DEGREES(ATAN2(E3,F3)),360))</f>
        <v>0</v>
      </c>
    </row>
    <row r="4" customFormat="false" ht="15" hidden="false" customHeight="true" outlineLevel="0" collapsed="false">
      <c r="A4" s="20" t="n">
        <v>400</v>
      </c>
      <c r="B4" s="20" t="n">
        <v>0</v>
      </c>
      <c r="C4" s="20" t="n">
        <v>0</v>
      </c>
      <c r="D4" s="24" t="n">
        <f aca="false">D3+(A4-A3)/2*(COS(RADIANS(B3))+COS(RADIANS(B4)))*(IF(ACOS(MIN(1,MAX(-1,COS(RADIANS(B4-B3))-SIN(RADIANS(B3))*SIN(RADIANS(B4))*(1-COS(RADIANS(C4-C3))))))=0,1,2/(ACOS(MIN(1,MAX(-1,COS(RADIANS(B4-B3))-SIN(RADIANS(B3))*SIN(RADIANS(B4))*(1-COS(RADIANS(C4-C3)))))))*TAN((ACOS(MIN(1,MAX(-1,COS(RADIANS(B4-B3))-SIN(RADIANS(B3))*SIN(RADIANS(B4))*(1-COS(RADIANS(C4-C3)))))))/2)))</f>
        <v>400</v>
      </c>
      <c r="E4" s="24" t="n">
        <f aca="false">E3+(A4-A3)/2*(SIN(RADIANS(B3))*COS(RADIANS(C3))+SIN(RADIANS(B4))*COS(RADIANS(C4)))*(IF(ACOS(MIN(1,MAX(-1,COS(RADIANS(B4-B3))-SIN(RADIANS(B3))*SIN(RADIANS(B4))*(1-COS(RADIANS(C4-C3))))))=0,1,2/(ACOS(MIN(1,MAX(-1,COS(RADIANS(B4-B3))-SIN(RADIANS(B3))*SIN(RADIANS(B4))*(1-COS(RADIANS(C4-C3)))))))*TAN((ACOS(MIN(1,MAX(-1,COS(RADIANS(B4-B3))-SIN(RADIANS(B3))*SIN(RADIANS(B4))*(1-COS(RADIANS(C4-C3)))))))/2)))</f>
        <v>0</v>
      </c>
      <c r="F4" s="24" t="n">
        <f aca="false">F3+(A4-A3)/2*(SIN(RADIANS(B3))*SIN(RADIANS(C3))+SIN(RADIANS(B4))*SIN(RADIANS(C4)))*(IF(ACOS(MIN(1,MAX(-1,COS(RADIANS(B4-B3))-SIN(RADIANS(B3))*SIN(RADIANS(B4))*(1-COS(RADIANS(C4-C3))))))=0,1,2/(ACOS(MIN(1,MAX(-1,COS(RADIANS(B4-B3))-SIN(RADIANS(B3))*SIN(RADIANS(B4))*(1-COS(RADIANS(C4-C3)))))))*TAN((ACOS(MIN(1,MAX(-1,COS(RADIANS(B4-B3))-SIN(RADIANS(B3))*SIN(RADIANS(B4))*(1-COS(RADIANS(C4-C3)))))))/2)))</f>
        <v>0</v>
      </c>
      <c r="G4" s="24" t="n">
        <f aca="false">IF(H4=0,0,DEGREES(ACOS(MIN(1,MAX(-1,COS(RADIANS(B4-B3))-SIN(RADIANS(B3))*SIN(RADIANS(B4))*(1-COS(RADIANS(C4-C3)))))))*100/H4)</f>
        <v>0</v>
      </c>
      <c r="H4" s="24" t="n">
        <f aca="false">A4-A3</f>
        <v>200</v>
      </c>
      <c r="I4" s="24" t="n">
        <f aca="false">J4*COS(RADIANS(K4-Well_Data!$B$68))</f>
        <v>-0</v>
      </c>
      <c r="J4" s="24" t="n">
        <f aca="false">SQRT(E4^2+F4^2)</f>
        <v>0</v>
      </c>
      <c r="K4" s="24" t="n">
        <f aca="false">IF(J4=0,0,MOD(DEGREES(ATAN2(E4,F4)),360))</f>
        <v>0</v>
      </c>
    </row>
    <row r="5" customFormat="false" ht="15" hidden="false" customHeight="true" outlineLevel="0" collapsed="false">
      <c r="A5" s="20" t="n">
        <v>600</v>
      </c>
      <c r="B5" s="20" t="n">
        <v>0</v>
      </c>
      <c r="C5" s="20" t="n">
        <v>0</v>
      </c>
      <c r="D5" s="24" t="n">
        <f aca="false">D4+(A5-A4)/2*(COS(RADIANS(B4))+COS(RADIANS(B5)))*(IF(ACOS(MIN(1,MAX(-1,COS(RADIANS(B5-B4))-SIN(RADIANS(B4))*SIN(RADIANS(B5))*(1-COS(RADIANS(C5-C4))))))=0,1,2/(ACOS(MIN(1,MAX(-1,COS(RADIANS(B5-B4))-SIN(RADIANS(B4))*SIN(RADIANS(B5))*(1-COS(RADIANS(C5-C4)))))))*TAN((ACOS(MIN(1,MAX(-1,COS(RADIANS(B5-B4))-SIN(RADIANS(B4))*SIN(RADIANS(B5))*(1-COS(RADIANS(C5-C4)))))))/2)))</f>
        <v>600</v>
      </c>
      <c r="E5" s="24" t="n">
        <f aca="false">E4+(A5-A4)/2*(SIN(RADIANS(B4))*COS(RADIANS(C4))+SIN(RADIANS(B5))*COS(RADIANS(C5)))*(IF(ACOS(MIN(1,MAX(-1,COS(RADIANS(B5-B4))-SIN(RADIANS(B4))*SIN(RADIANS(B5))*(1-COS(RADIANS(C5-C4))))))=0,1,2/(ACOS(MIN(1,MAX(-1,COS(RADIANS(B5-B4))-SIN(RADIANS(B4))*SIN(RADIANS(B5))*(1-COS(RADIANS(C5-C4)))))))*TAN((ACOS(MIN(1,MAX(-1,COS(RADIANS(B5-B4))-SIN(RADIANS(B4))*SIN(RADIANS(B5))*(1-COS(RADIANS(C5-C4)))))))/2)))</f>
        <v>0</v>
      </c>
      <c r="F5" s="24" t="n">
        <f aca="false">F4+(A5-A4)/2*(SIN(RADIANS(B4))*SIN(RADIANS(C4))+SIN(RADIANS(B5))*SIN(RADIANS(C5)))*(IF(ACOS(MIN(1,MAX(-1,COS(RADIANS(B5-B4))-SIN(RADIANS(B4))*SIN(RADIANS(B5))*(1-COS(RADIANS(C5-C4))))))=0,1,2/(ACOS(MIN(1,MAX(-1,COS(RADIANS(B5-B4))-SIN(RADIANS(B4))*SIN(RADIANS(B5))*(1-COS(RADIANS(C5-C4)))))))*TAN((ACOS(MIN(1,MAX(-1,COS(RADIANS(B5-B4))-SIN(RADIANS(B4))*SIN(RADIANS(B5))*(1-COS(RADIANS(C5-C4)))))))/2)))</f>
        <v>0</v>
      </c>
      <c r="G5" s="24" t="n">
        <f aca="false">IF(H5=0,0,DEGREES(ACOS(MIN(1,MAX(-1,COS(RADIANS(B5-B4))-SIN(RADIANS(B4))*SIN(RADIANS(B5))*(1-COS(RADIANS(C5-C4)))))))*100/H5)</f>
        <v>0</v>
      </c>
      <c r="H5" s="24" t="n">
        <f aca="false">A5-A4</f>
        <v>200</v>
      </c>
      <c r="I5" s="24" t="n">
        <f aca="false">J5*COS(RADIANS(K5-Well_Data!$B$68))</f>
        <v>-0</v>
      </c>
      <c r="J5" s="24" t="n">
        <f aca="false">SQRT(E5^2+F5^2)</f>
        <v>0</v>
      </c>
      <c r="K5" s="24" t="n">
        <f aca="false">IF(J5=0,0,MOD(DEGREES(ATAN2(E5,F5)),360))</f>
        <v>0</v>
      </c>
    </row>
    <row r="6" customFormat="false" ht="15" hidden="false" customHeight="true" outlineLevel="0" collapsed="false">
      <c r="A6" s="20" t="n">
        <v>800</v>
      </c>
      <c r="B6" s="20" t="n">
        <v>0</v>
      </c>
      <c r="C6" s="20" t="n">
        <v>0</v>
      </c>
      <c r="D6" s="24" t="n">
        <f aca="false">D5+(A6-A5)/2*(COS(RADIANS(B5))+COS(RADIANS(B6)))*(IF(ACOS(MIN(1,MAX(-1,COS(RADIANS(B6-B5))-SIN(RADIANS(B5))*SIN(RADIANS(B6))*(1-COS(RADIANS(C6-C5))))))=0,1,2/(ACOS(MIN(1,MAX(-1,COS(RADIANS(B6-B5))-SIN(RADIANS(B5))*SIN(RADIANS(B6))*(1-COS(RADIANS(C6-C5)))))))*TAN((ACOS(MIN(1,MAX(-1,COS(RADIANS(B6-B5))-SIN(RADIANS(B5))*SIN(RADIANS(B6))*(1-COS(RADIANS(C6-C5)))))))/2)))</f>
        <v>800</v>
      </c>
      <c r="E6" s="24" t="n">
        <f aca="false">E5+(A6-A5)/2*(SIN(RADIANS(B5))*COS(RADIANS(C5))+SIN(RADIANS(B6))*COS(RADIANS(C6)))*(IF(ACOS(MIN(1,MAX(-1,COS(RADIANS(B6-B5))-SIN(RADIANS(B5))*SIN(RADIANS(B6))*(1-COS(RADIANS(C6-C5))))))=0,1,2/(ACOS(MIN(1,MAX(-1,COS(RADIANS(B6-B5))-SIN(RADIANS(B5))*SIN(RADIANS(B6))*(1-COS(RADIANS(C6-C5)))))))*TAN((ACOS(MIN(1,MAX(-1,COS(RADIANS(B6-B5))-SIN(RADIANS(B5))*SIN(RADIANS(B6))*(1-COS(RADIANS(C6-C5)))))))/2)))</f>
        <v>0</v>
      </c>
      <c r="F6" s="24" t="n">
        <f aca="false">F5+(A6-A5)/2*(SIN(RADIANS(B5))*SIN(RADIANS(C5))+SIN(RADIANS(B6))*SIN(RADIANS(C6)))*(IF(ACOS(MIN(1,MAX(-1,COS(RADIANS(B6-B5))-SIN(RADIANS(B5))*SIN(RADIANS(B6))*(1-COS(RADIANS(C6-C5))))))=0,1,2/(ACOS(MIN(1,MAX(-1,COS(RADIANS(B6-B5))-SIN(RADIANS(B5))*SIN(RADIANS(B6))*(1-COS(RADIANS(C6-C5)))))))*TAN((ACOS(MIN(1,MAX(-1,COS(RADIANS(B6-B5))-SIN(RADIANS(B5))*SIN(RADIANS(B6))*(1-COS(RADIANS(C6-C5)))))))/2)))</f>
        <v>0</v>
      </c>
      <c r="G6" s="24" t="n">
        <f aca="false">IF(H6=0,0,DEGREES(ACOS(MIN(1,MAX(-1,COS(RADIANS(B6-B5))-SIN(RADIANS(B5))*SIN(RADIANS(B6))*(1-COS(RADIANS(C6-C5)))))))*100/H6)</f>
        <v>0</v>
      </c>
      <c r="H6" s="24" t="n">
        <f aca="false">A6-A5</f>
        <v>200</v>
      </c>
      <c r="I6" s="24" t="n">
        <f aca="false">J6*COS(RADIANS(K6-Well_Data!$B$68))</f>
        <v>-0</v>
      </c>
      <c r="J6" s="24" t="n">
        <f aca="false">SQRT(E6^2+F6^2)</f>
        <v>0</v>
      </c>
      <c r="K6" s="24" t="n">
        <f aca="false">IF(J6=0,0,MOD(DEGREES(ATAN2(E6,F6)),360))</f>
        <v>0</v>
      </c>
    </row>
    <row r="7" customFormat="false" ht="15" hidden="false" customHeight="true" outlineLevel="0" collapsed="false">
      <c r="A7" s="20" t="n">
        <v>1000</v>
      </c>
      <c r="B7" s="20" t="n">
        <v>0</v>
      </c>
      <c r="C7" s="20" t="n">
        <v>0</v>
      </c>
      <c r="D7" s="24" t="n">
        <f aca="false">D6+(A7-A6)/2*(COS(RADIANS(B6))+COS(RADIANS(B7)))*(IF(ACOS(MIN(1,MAX(-1,COS(RADIANS(B7-B6))-SIN(RADIANS(B6))*SIN(RADIANS(B7))*(1-COS(RADIANS(C7-C6))))))=0,1,2/(ACOS(MIN(1,MAX(-1,COS(RADIANS(B7-B6))-SIN(RADIANS(B6))*SIN(RADIANS(B7))*(1-COS(RADIANS(C7-C6)))))))*TAN((ACOS(MIN(1,MAX(-1,COS(RADIANS(B7-B6))-SIN(RADIANS(B6))*SIN(RADIANS(B7))*(1-COS(RADIANS(C7-C6)))))))/2)))</f>
        <v>1000</v>
      </c>
      <c r="E7" s="24" t="n">
        <f aca="false">E6+(A7-A6)/2*(SIN(RADIANS(B6))*COS(RADIANS(C6))+SIN(RADIANS(B7))*COS(RADIANS(C7)))*(IF(ACOS(MIN(1,MAX(-1,COS(RADIANS(B7-B6))-SIN(RADIANS(B6))*SIN(RADIANS(B7))*(1-COS(RADIANS(C7-C6))))))=0,1,2/(ACOS(MIN(1,MAX(-1,COS(RADIANS(B7-B6))-SIN(RADIANS(B6))*SIN(RADIANS(B7))*(1-COS(RADIANS(C7-C6)))))))*TAN((ACOS(MIN(1,MAX(-1,COS(RADIANS(B7-B6))-SIN(RADIANS(B6))*SIN(RADIANS(B7))*(1-COS(RADIANS(C7-C6)))))))/2)))</f>
        <v>0</v>
      </c>
      <c r="F7" s="24" t="n">
        <f aca="false">F6+(A7-A6)/2*(SIN(RADIANS(B6))*SIN(RADIANS(C6))+SIN(RADIANS(B7))*SIN(RADIANS(C7)))*(IF(ACOS(MIN(1,MAX(-1,COS(RADIANS(B7-B6))-SIN(RADIANS(B6))*SIN(RADIANS(B7))*(1-COS(RADIANS(C7-C6))))))=0,1,2/(ACOS(MIN(1,MAX(-1,COS(RADIANS(B7-B6))-SIN(RADIANS(B6))*SIN(RADIANS(B7))*(1-COS(RADIANS(C7-C6)))))))*TAN((ACOS(MIN(1,MAX(-1,COS(RADIANS(B7-B6))-SIN(RADIANS(B6))*SIN(RADIANS(B7))*(1-COS(RADIANS(C7-C6)))))))/2)))</f>
        <v>0</v>
      </c>
      <c r="G7" s="24" t="n">
        <f aca="false">IF(H7=0,0,DEGREES(ACOS(MIN(1,MAX(-1,COS(RADIANS(B7-B6))-SIN(RADIANS(B6))*SIN(RADIANS(B7))*(1-COS(RADIANS(C7-C6)))))))*100/H7)</f>
        <v>0</v>
      </c>
      <c r="H7" s="24" t="n">
        <f aca="false">A7-A6</f>
        <v>200</v>
      </c>
      <c r="I7" s="24" t="n">
        <f aca="false">J7*COS(RADIANS(K7-Well_Data!$B$68))</f>
        <v>-0</v>
      </c>
      <c r="J7" s="24" t="n">
        <f aca="false">SQRT(E7^2+F7^2)</f>
        <v>0</v>
      </c>
      <c r="K7" s="24" t="n">
        <f aca="false">IF(J7=0,0,MOD(DEGREES(ATAN2(E7,F7)),360))</f>
        <v>0</v>
      </c>
    </row>
    <row r="8" customFormat="false" ht="15" hidden="false" customHeight="true" outlineLevel="0" collapsed="false">
      <c r="A8" s="20" t="n">
        <v>1200</v>
      </c>
      <c r="B8" s="20" t="n">
        <v>0</v>
      </c>
      <c r="C8" s="20" t="n">
        <v>0</v>
      </c>
      <c r="D8" s="24" t="n">
        <f aca="false">D7+(A8-A7)/2*(COS(RADIANS(B7))+COS(RADIANS(B8)))*(IF(ACOS(MIN(1,MAX(-1,COS(RADIANS(B8-B7))-SIN(RADIANS(B7))*SIN(RADIANS(B8))*(1-COS(RADIANS(C8-C7))))))=0,1,2/(ACOS(MIN(1,MAX(-1,COS(RADIANS(B8-B7))-SIN(RADIANS(B7))*SIN(RADIANS(B8))*(1-COS(RADIANS(C8-C7)))))))*TAN((ACOS(MIN(1,MAX(-1,COS(RADIANS(B8-B7))-SIN(RADIANS(B7))*SIN(RADIANS(B8))*(1-COS(RADIANS(C8-C7)))))))/2)))</f>
        <v>1200</v>
      </c>
      <c r="E8" s="24" t="n">
        <f aca="false">E7+(A8-A7)/2*(SIN(RADIANS(B7))*COS(RADIANS(C7))+SIN(RADIANS(B8))*COS(RADIANS(C8)))*(IF(ACOS(MIN(1,MAX(-1,COS(RADIANS(B8-B7))-SIN(RADIANS(B7))*SIN(RADIANS(B8))*(1-COS(RADIANS(C8-C7))))))=0,1,2/(ACOS(MIN(1,MAX(-1,COS(RADIANS(B8-B7))-SIN(RADIANS(B7))*SIN(RADIANS(B8))*(1-COS(RADIANS(C8-C7)))))))*TAN((ACOS(MIN(1,MAX(-1,COS(RADIANS(B8-B7))-SIN(RADIANS(B7))*SIN(RADIANS(B8))*(1-COS(RADIANS(C8-C7)))))))/2)))</f>
        <v>0</v>
      </c>
      <c r="F8" s="24" t="n">
        <f aca="false">F7+(A8-A7)/2*(SIN(RADIANS(B7))*SIN(RADIANS(C7))+SIN(RADIANS(B8))*SIN(RADIANS(C8)))*(IF(ACOS(MIN(1,MAX(-1,COS(RADIANS(B8-B7))-SIN(RADIANS(B7))*SIN(RADIANS(B8))*(1-COS(RADIANS(C8-C7))))))=0,1,2/(ACOS(MIN(1,MAX(-1,COS(RADIANS(B8-B7))-SIN(RADIANS(B7))*SIN(RADIANS(B8))*(1-COS(RADIANS(C8-C7)))))))*TAN((ACOS(MIN(1,MAX(-1,COS(RADIANS(B8-B7))-SIN(RADIANS(B7))*SIN(RADIANS(B8))*(1-COS(RADIANS(C8-C7)))))))/2)))</f>
        <v>0</v>
      </c>
      <c r="G8" s="24" t="n">
        <f aca="false">IF(H8=0,0,DEGREES(ACOS(MIN(1,MAX(-1,COS(RADIANS(B8-B7))-SIN(RADIANS(B7))*SIN(RADIANS(B8))*(1-COS(RADIANS(C8-C7)))))))*100/H8)</f>
        <v>0</v>
      </c>
      <c r="H8" s="24" t="n">
        <f aca="false">A8-A7</f>
        <v>200</v>
      </c>
      <c r="I8" s="24" t="n">
        <f aca="false">J8*COS(RADIANS(K8-Well_Data!$B$68))</f>
        <v>-0</v>
      </c>
      <c r="J8" s="24" t="n">
        <f aca="false">SQRT(E8^2+F8^2)</f>
        <v>0</v>
      </c>
      <c r="K8" s="24" t="n">
        <f aca="false">IF(J8=0,0,MOD(DEGREES(ATAN2(E8,F8)),360))</f>
        <v>0</v>
      </c>
    </row>
    <row r="9" customFormat="false" ht="15" hidden="false" customHeight="true" outlineLevel="0" collapsed="false">
      <c r="A9" s="20" t="n">
        <v>1400</v>
      </c>
      <c r="B9" s="20" t="n">
        <v>0</v>
      </c>
      <c r="C9" s="20" t="n">
        <v>0</v>
      </c>
      <c r="D9" s="24" t="n">
        <f aca="false">D8+(A9-A8)/2*(COS(RADIANS(B8))+COS(RADIANS(B9)))*(IF(ACOS(MIN(1,MAX(-1,COS(RADIANS(B9-B8))-SIN(RADIANS(B8))*SIN(RADIANS(B9))*(1-COS(RADIANS(C9-C8))))))=0,1,2/(ACOS(MIN(1,MAX(-1,COS(RADIANS(B9-B8))-SIN(RADIANS(B8))*SIN(RADIANS(B9))*(1-COS(RADIANS(C9-C8)))))))*TAN((ACOS(MIN(1,MAX(-1,COS(RADIANS(B9-B8))-SIN(RADIANS(B8))*SIN(RADIANS(B9))*(1-COS(RADIANS(C9-C8)))))))/2)))</f>
        <v>1400</v>
      </c>
      <c r="E9" s="24" t="n">
        <f aca="false">E8+(A9-A8)/2*(SIN(RADIANS(B8))*COS(RADIANS(C8))+SIN(RADIANS(B9))*COS(RADIANS(C9)))*(IF(ACOS(MIN(1,MAX(-1,COS(RADIANS(B9-B8))-SIN(RADIANS(B8))*SIN(RADIANS(B9))*(1-COS(RADIANS(C9-C8))))))=0,1,2/(ACOS(MIN(1,MAX(-1,COS(RADIANS(B9-B8))-SIN(RADIANS(B8))*SIN(RADIANS(B9))*(1-COS(RADIANS(C9-C8)))))))*TAN((ACOS(MIN(1,MAX(-1,COS(RADIANS(B9-B8))-SIN(RADIANS(B8))*SIN(RADIANS(B9))*(1-COS(RADIANS(C9-C8)))))))/2)))</f>
        <v>0</v>
      </c>
      <c r="F9" s="24" t="n">
        <f aca="false">F8+(A9-A8)/2*(SIN(RADIANS(B8))*SIN(RADIANS(C8))+SIN(RADIANS(B9))*SIN(RADIANS(C9)))*(IF(ACOS(MIN(1,MAX(-1,COS(RADIANS(B9-B8))-SIN(RADIANS(B8))*SIN(RADIANS(B9))*(1-COS(RADIANS(C9-C8))))))=0,1,2/(ACOS(MIN(1,MAX(-1,COS(RADIANS(B9-B8))-SIN(RADIANS(B8))*SIN(RADIANS(B9))*(1-COS(RADIANS(C9-C8)))))))*TAN((ACOS(MIN(1,MAX(-1,COS(RADIANS(B9-B8))-SIN(RADIANS(B8))*SIN(RADIANS(B9))*(1-COS(RADIANS(C9-C8)))))))/2)))</f>
        <v>0</v>
      </c>
      <c r="G9" s="24" t="n">
        <f aca="false">IF(H9=0,0,DEGREES(ACOS(MIN(1,MAX(-1,COS(RADIANS(B9-B8))-SIN(RADIANS(B8))*SIN(RADIANS(B9))*(1-COS(RADIANS(C9-C8)))))))*100/H9)</f>
        <v>0</v>
      </c>
      <c r="H9" s="24" t="n">
        <f aca="false">A9-A8</f>
        <v>200</v>
      </c>
      <c r="I9" s="24" t="n">
        <f aca="false">J9*COS(RADIANS(K9-Well_Data!$B$68))</f>
        <v>-0</v>
      </c>
      <c r="J9" s="24" t="n">
        <f aca="false">SQRT(E9^2+F9^2)</f>
        <v>0</v>
      </c>
      <c r="K9" s="24" t="n">
        <f aca="false">IF(J9=0,0,MOD(DEGREES(ATAN2(E9,F9)),360))</f>
        <v>0</v>
      </c>
    </row>
    <row r="10" customFormat="false" ht="15" hidden="false" customHeight="true" outlineLevel="0" collapsed="false">
      <c r="A10" s="20" t="n">
        <v>1600</v>
      </c>
      <c r="B10" s="20" t="n">
        <v>0</v>
      </c>
      <c r="C10" s="20" t="n">
        <v>0</v>
      </c>
      <c r="D10" s="24" t="n">
        <f aca="false">D9+(A10-A9)/2*(COS(RADIANS(B9))+COS(RADIANS(B10)))*(IF(ACOS(MIN(1,MAX(-1,COS(RADIANS(B10-B9))-SIN(RADIANS(B9))*SIN(RADIANS(B10))*(1-COS(RADIANS(C10-C9))))))=0,1,2/(ACOS(MIN(1,MAX(-1,COS(RADIANS(B10-B9))-SIN(RADIANS(B9))*SIN(RADIANS(B10))*(1-COS(RADIANS(C10-C9)))))))*TAN((ACOS(MIN(1,MAX(-1,COS(RADIANS(B10-B9))-SIN(RADIANS(B9))*SIN(RADIANS(B10))*(1-COS(RADIANS(C10-C9)))))))/2)))</f>
        <v>1600</v>
      </c>
      <c r="E10" s="24" t="n">
        <f aca="false">E9+(A10-A9)/2*(SIN(RADIANS(B9))*COS(RADIANS(C9))+SIN(RADIANS(B10))*COS(RADIANS(C10)))*(IF(ACOS(MIN(1,MAX(-1,COS(RADIANS(B10-B9))-SIN(RADIANS(B9))*SIN(RADIANS(B10))*(1-COS(RADIANS(C10-C9))))))=0,1,2/(ACOS(MIN(1,MAX(-1,COS(RADIANS(B10-B9))-SIN(RADIANS(B9))*SIN(RADIANS(B10))*(1-COS(RADIANS(C10-C9)))))))*TAN((ACOS(MIN(1,MAX(-1,COS(RADIANS(B10-B9))-SIN(RADIANS(B9))*SIN(RADIANS(B10))*(1-COS(RADIANS(C10-C9)))))))/2)))</f>
        <v>0</v>
      </c>
      <c r="F10" s="24" t="n">
        <f aca="false">F9+(A10-A9)/2*(SIN(RADIANS(B9))*SIN(RADIANS(C9))+SIN(RADIANS(B10))*SIN(RADIANS(C10)))*(IF(ACOS(MIN(1,MAX(-1,COS(RADIANS(B10-B9))-SIN(RADIANS(B9))*SIN(RADIANS(B10))*(1-COS(RADIANS(C10-C9))))))=0,1,2/(ACOS(MIN(1,MAX(-1,COS(RADIANS(B10-B9))-SIN(RADIANS(B9))*SIN(RADIANS(B10))*(1-COS(RADIANS(C10-C9)))))))*TAN((ACOS(MIN(1,MAX(-1,COS(RADIANS(B10-B9))-SIN(RADIANS(B9))*SIN(RADIANS(B10))*(1-COS(RADIANS(C10-C9)))))))/2)))</f>
        <v>0</v>
      </c>
      <c r="G10" s="24" t="n">
        <f aca="false">IF(H10=0,0,DEGREES(ACOS(MIN(1,MAX(-1,COS(RADIANS(B10-B9))-SIN(RADIANS(B9))*SIN(RADIANS(B10))*(1-COS(RADIANS(C10-C9)))))))*100/H10)</f>
        <v>0</v>
      </c>
      <c r="H10" s="24" t="n">
        <f aca="false">A10-A9</f>
        <v>200</v>
      </c>
      <c r="I10" s="24" t="n">
        <f aca="false">J10*COS(RADIANS(K10-Well_Data!$B$68))</f>
        <v>-0</v>
      </c>
      <c r="J10" s="24" t="n">
        <f aca="false">SQRT(E10^2+F10^2)</f>
        <v>0</v>
      </c>
      <c r="K10" s="24" t="n">
        <f aca="false">IF(J10=0,0,MOD(DEGREES(ATAN2(E10,F10)),360))</f>
        <v>0</v>
      </c>
    </row>
    <row r="11" customFormat="false" ht="15" hidden="false" customHeight="true" outlineLevel="0" collapsed="false">
      <c r="A11" s="20" t="n">
        <v>1800</v>
      </c>
      <c r="B11" s="20" t="n">
        <v>0</v>
      </c>
      <c r="C11" s="20" t="n">
        <v>0</v>
      </c>
      <c r="D11" s="24" t="n">
        <f aca="false">D10+(A11-A10)/2*(COS(RADIANS(B10))+COS(RADIANS(B11)))*(IF(ACOS(MIN(1,MAX(-1,COS(RADIANS(B11-B10))-SIN(RADIANS(B10))*SIN(RADIANS(B11))*(1-COS(RADIANS(C11-C10))))))=0,1,2/(ACOS(MIN(1,MAX(-1,COS(RADIANS(B11-B10))-SIN(RADIANS(B10))*SIN(RADIANS(B11))*(1-COS(RADIANS(C11-C10)))))))*TAN((ACOS(MIN(1,MAX(-1,COS(RADIANS(B11-B10))-SIN(RADIANS(B10))*SIN(RADIANS(B11))*(1-COS(RADIANS(C11-C10)))))))/2)))</f>
        <v>1800</v>
      </c>
      <c r="E11" s="24" t="n">
        <f aca="false">E10+(A11-A10)/2*(SIN(RADIANS(B10))*COS(RADIANS(C10))+SIN(RADIANS(B11))*COS(RADIANS(C11)))*(IF(ACOS(MIN(1,MAX(-1,COS(RADIANS(B11-B10))-SIN(RADIANS(B10))*SIN(RADIANS(B11))*(1-COS(RADIANS(C11-C10))))))=0,1,2/(ACOS(MIN(1,MAX(-1,COS(RADIANS(B11-B10))-SIN(RADIANS(B10))*SIN(RADIANS(B11))*(1-COS(RADIANS(C11-C10)))))))*TAN((ACOS(MIN(1,MAX(-1,COS(RADIANS(B11-B10))-SIN(RADIANS(B10))*SIN(RADIANS(B11))*(1-COS(RADIANS(C11-C10)))))))/2)))</f>
        <v>0</v>
      </c>
      <c r="F11" s="24" t="n">
        <f aca="false">F10+(A11-A10)/2*(SIN(RADIANS(B10))*SIN(RADIANS(C10))+SIN(RADIANS(B11))*SIN(RADIANS(C11)))*(IF(ACOS(MIN(1,MAX(-1,COS(RADIANS(B11-B10))-SIN(RADIANS(B10))*SIN(RADIANS(B11))*(1-COS(RADIANS(C11-C10))))))=0,1,2/(ACOS(MIN(1,MAX(-1,COS(RADIANS(B11-B10))-SIN(RADIANS(B10))*SIN(RADIANS(B11))*(1-COS(RADIANS(C11-C10)))))))*TAN((ACOS(MIN(1,MAX(-1,COS(RADIANS(B11-B10))-SIN(RADIANS(B10))*SIN(RADIANS(B11))*(1-COS(RADIANS(C11-C10)))))))/2)))</f>
        <v>0</v>
      </c>
      <c r="G11" s="24" t="n">
        <f aca="false">IF(H11=0,0,DEGREES(ACOS(MIN(1,MAX(-1,COS(RADIANS(B11-B10))-SIN(RADIANS(B10))*SIN(RADIANS(B11))*(1-COS(RADIANS(C11-C10)))))))*100/H11)</f>
        <v>0</v>
      </c>
      <c r="H11" s="24" t="n">
        <f aca="false">A11-A10</f>
        <v>200</v>
      </c>
      <c r="I11" s="24" t="n">
        <f aca="false">J11*COS(RADIANS(K11-Well_Data!$B$68))</f>
        <v>-0</v>
      </c>
      <c r="J11" s="24" t="n">
        <f aca="false">SQRT(E11^2+F11^2)</f>
        <v>0</v>
      </c>
      <c r="K11" s="24" t="n">
        <f aca="false">IF(J11=0,0,MOD(DEGREES(ATAN2(E11,F11)),360))</f>
        <v>0</v>
      </c>
    </row>
    <row r="12" customFormat="false" ht="15" hidden="false" customHeight="true" outlineLevel="0" collapsed="false">
      <c r="A12" s="20" t="n">
        <v>2000</v>
      </c>
      <c r="B12" s="20" t="n">
        <v>0</v>
      </c>
      <c r="C12" s="20" t="n">
        <v>142</v>
      </c>
      <c r="D12" s="24" t="n">
        <f aca="false">D11+(A12-A11)/2*(COS(RADIANS(B11))+COS(RADIANS(B12)))*(IF(ACOS(MIN(1,MAX(-1,COS(RADIANS(B12-B11))-SIN(RADIANS(B11))*SIN(RADIANS(B12))*(1-COS(RADIANS(C12-C11))))))=0,1,2/(ACOS(MIN(1,MAX(-1,COS(RADIANS(B12-B11))-SIN(RADIANS(B11))*SIN(RADIANS(B12))*(1-COS(RADIANS(C12-C11)))))))*TAN((ACOS(MIN(1,MAX(-1,COS(RADIANS(B12-B11))-SIN(RADIANS(B11))*SIN(RADIANS(B12))*(1-COS(RADIANS(C12-C11)))))))/2)))</f>
        <v>2000</v>
      </c>
      <c r="E12" s="24" t="n">
        <f aca="false">E11+(A12-A11)/2*(SIN(RADIANS(B11))*COS(RADIANS(C11))+SIN(RADIANS(B12))*COS(RADIANS(C12)))*(IF(ACOS(MIN(1,MAX(-1,COS(RADIANS(B12-B11))-SIN(RADIANS(B11))*SIN(RADIANS(B12))*(1-COS(RADIANS(C12-C11))))))=0,1,2/(ACOS(MIN(1,MAX(-1,COS(RADIANS(B12-B11))-SIN(RADIANS(B11))*SIN(RADIANS(B12))*(1-COS(RADIANS(C12-C11)))))))*TAN((ACOS(MIN(1,MAX(-1,COS(RADIANS(B12-B11))-SIN(RADIANS(B11))*SIN(RADIANS(B12))*(1-COS(RADIANS(C12-C11)))))))/2)))</f>
        <v>0</v>
      </c>
      <c r="F12" s="24" t="n">
        <f aca="false">F11+(A12-A11)/2*(SIN(RADIANS(B11))*SIN(RADIANS(C11))+SIN(RADIANS(B12))*SIN(RADIANS(C12)))*(IF(ACOS(MIN(1,MAX(-1,COS(RADIANS(B12-B11))-SIN(RADIANS(B11))*SIN(RADIANS(B12))*(1-COS(RADIANS(C12-C11))))))=0,1,2/(ACOS(MIN(1,MAX(-1,COS(RADIANS(B12-B11))-SIN(RADIANS(B11))*SIN(RADIANS(B12))*(1-COS(RADIANS(C12-C11)))))))*TAN((ACOS(MIN(1,MAX(-1,COS(RADIANS(B12-B11))-SIN(RADIANS(B11))*SIN(RADIANS(B12))*(1-COS(RADIANS(C12-C11)))))))/2)))</f>
        <v>0</v>
      </c>
      <c r="G12" s="24" t="n">
        <f aca="false">IF(H12=0,0,DEGREES(ACOS(MIN(1,MAX(-1,COS(RADIANS(B12-B11))-SIN(RADIANS(B11))*SIN(RADIANS(B12))*(1-COS(RADIANS(C12-C11)))))))*100/H12)</f>
        <v>0</v>
      </c>
      <c r="H12" s="24" t="n">
        <f aca="false">A12-A11</f>
        <v>200</v>
      </c>
      <c r="I12" s="24" t="n">
        <f aca="false">J12*COS(RADIANS(K12-Well_Data!$B$68))</f>
        <v>-0</v>
      </c>
      <c r="J12" s="24" t="n">
        <f aca="false">SQRT(E12^2+F12^2)</f>
        <v>0</v>
      </c>
      <c r="K12" s="24" t="n">
        <f aca="false">IF(J12=0,0,MOD(DEGREES(ATAN2(E12,F12)),360))</f>
        <v>0</v>
      </c>
    </row>
    <row r="13" customFormat="false" ht="15" hidden="false" customHeight="true" outlineLevel="0" collapsed="false">
      <c r="A13" s="20" t="n">
        <v>2030</v>
      </c>
      <c r="B13" s="20" t="n">
        <v>0.75</v>
      </c>
      <c r="C13" s="20" t="n">
        <v>141.94</v>
      </c>
      <c r="D13" s="24" t="n">
        <f aca="false">D12+(A13-A12)/2*(COS(RADIANS(B12))+COS(RADIANS(B13)))*(IF(ACOS(MIN(1,MAX(-1,COS(RADIANS(B13-B12))-SIN(RADIANS(B12))*SIN(RADIANS(B13))*(1-COS(RADIANS(C13-C12))))))=0,1,2/(ACOS(MIN(1,MAX(-1,COS(RADIANS(B13-B12))-SIN(RADIANS(B12))*SIN(RADIANS(B13))*(1-COS(RADIANS(C13-C12)))))))*TAN((ACOS(MIN(1,MAX(-1,COS(RADIANS(B13-B12))-SIN(RADIANS(B12))*SIN(RADIANS(B13))*(1-COS(RADIANS(C13-C12)))))))/2)))</f>
        <v>2029.99914327085</v>
      </c>
      <c r="E13" s="24" t="n">
        <f aca="false">E12+(A13-A12)/2*(SIN(RADIANS(B12))*COS(RADIANS(C12))+SIN(RADIANS(B13))*COS(RADIANS(C13)))*(IF(ACOS(MIN(1,MAX(-1,COS(RADIANS(B13-B12))-SIN(RADIANS(B12))*SIN(RADIANS(B13))*(1-COS(RADIANS(C13-C12))))))=0,1,2/(ACOS(MIN(1,MAX(-1,COS(RADIANS(B13-B12))-SIN(RADIANS(B12))*SIN(RADIANS(B13))*(1-COS(RADIANS(C13-C12)))))))*TAN((ACOS(MIN(1,MAX(-1,COS(RADIANS(B13-B12))-SIN(RADIANS(B12))*SIN(RADIANS(B13))*(1-COS(RADIANS(C13-C12)))))))/2)))</f>
        <v>-0.154596667027922</v>
      </c>
      <c r="F13" s="24" t="n">
        <f aca="false">F12+(A13-A12)/2*(SIN(RADIANS(B12))*SIN(RADIANS(C12))+SIN(RADIANS(B13))*SIN(RADIANS(C13)))*(IF(ACOS(MIN(1,MAX(-1,COS(RADIANS(B13-B12))-SIN(RADIANS(B12))*SIN(RADIANS(B13))*(1-COS(RADIANS(C13-C12))))))=0,1,2/(ACOS(MIN(1,MAX(-1,COS(RADIANS(B13-B12))-SIN(RADIANS(B12))*SIN(RADIANS(B13))*(1-COS(RADIANS(C13-C12)))))))*TAN((ACOS(MIN(1,MAX(-1,COS(RADIANS(B13-B12))-SIN(RADIANS(B12))*SIN(RADIANS(B13))*(1-COS(RADIANS(C13-C12)))))))/2)))</f>
        <v>0.121045081492946</v>
      </c>
      <c r="G13" s="24" t="n">
        <f aca="false">IF(H13=0,0,DEGREES(ACOS(MIN(1,MAX(-1,COS(RADIANS(B13-B12))-SIN(RADIANS(B12))*SIN(RADIANS(B13))*(1-COS(RADIANS(C13-C12)))))))*100/H13)</f>
        <v>2.50000000000047</v>
      </c>
      <c r="H13" s="24" t="n">
        <f aca="false">A13-A12</f>
        <v>30</v>
      </c>
      <c r="I13" s="24" t="n">
        <f aca="false">J13*COS(RADIANS(K13-Well_Data!$B$68))</f>
        <v>0.196219844663408</v>
      </c>
      <c r="J13" s="24" t="n">
        <f aca="false">SQRT(E13^2+F13^2)</f>
        <v>0.196346737201758</v>
      </c>
      <c r="K13" s="24" t="n">
        <f aca="false">IF(J13=0,0,MOD(DEGREES(ATAN2(E13,F13)),360))</f>
        <v>141.94</v>
      </c>
    </row>
    <row r="14" customFormat="false" ht="15" hidden="false" customHeight="true" outlineLevel="0" collapsed="false">
      <c r="A14" s="20" t="n">
        <v>2060</v>
      </c>
      <c r="B14" s="20" t="n">
        <v>1.5</v>
      </c>
      <c r="C14" s="20" t="n">
        <v>142.03</v>
      </c>
      <c r="D14" s="24" t="n">
        <f aca="false">D13+(A14-A13)/2*(COS(RADIANS(B13))+COS(RADIANS(B14)))*(IF(ACOS(MIN(1,MAX(-1,COS(RADIANS(B14-B13))-SIN(RADIANS(B13))*SIN(RADIANS(B14))*(1-COS(RADIANS(C14-C13))))))=0,1,2/(ACOS(MIN(1,MAX(-1,COS(RADIANS(B14-B13))-SIN(RADIANS(B13))*SIN(RADIANS(B14))*(1-COS(RADIANS(C14-C13)))))))*TAN((ACOS(MIN(1,MAX(-1,COS(RADIANS(B14-B13))-SIN(RADIANS(B13))*SIN(RADIANS(B14))*(1-COS(RADIANS(C14-C13)))))))/2)))</f>
        <v>2059.99314634504</v>
      </c>
      <c r="E14" s="24" t="n">
        <f aca="false">E13+(A14-A13)/2*(SIN(RADIANS(B13))*COS(RADIANS(C13))+SIN(RADIANS(B14))*COS(RADIANS(C14)))*(IF(ACOS(MIN(1,MAX(-1,COS(RADIANS(B14-B13))-SIN(RADIANS(B13))*SIN(RADIANS(B14))*(1-COS(RADIANS(C14-C13))))))=0,1,2/(ACOS(MIN(1,MAX(-1,COS(RADIANS(B14-B13))-SIN(RADIANS(B13))*SIN(RADIANS(B14))*(1-COS(RADIANS(C14-C13)))))))*TAN((ACOS(MIN(1,MAX(-1,COS(RADIANS(B14-B13))-SIN(RADIANS(B13))*SIN(RADIANS(B14))*(1-COS(RADIANS(C14-C13)))))))/2)))</f>
        <v>-0.618740038985512</v>
      </c>
      <c r="F14" s="24" t="n">
        <f aca="false">F13+(A14-A13)/2*(SIN(RADIANS(B13))*SIN(RADIANS(C13))+SIN(RADIANS(B14))*SIN(RADIANS(C14)))*(IF(ACOS(MIN(1,MAX(-1,COS(RADIANS(B14-B13))-SIN(RADIANS(B13))*SIN(RADIANS(B14))*(1-COS(RADIANS(C14-C13))))))=0,1,2/(ACOS(MIN(1,MAX(-1,COS(RADIANS(B14-B13))-SIN(RADIANS(B13))*SIN(RADIANS(B14))*(1-COS(RADIANS(C14-C13)))))))*TAN((ACOS(MIN(1,MAX(-1,COS(RADIANS(B14-B13))-SIN(RADIANS(B13))*SIN(RADIANS(B14))*(1-COS(RADIANS(C14-C13)))))))/2)))</f>
        <v>0.483673648960311</v>
      </c>
      <c r="G14" s="24" t="n">
        <f aca="false">IF(H14=0,0,DEGREES(ACOS(MIN(1,MAX(-1,COS(RADIANS(B14-B13))-SIN(RADIANS(B13))*SIN(RADIANS(B14))*(1-COS(RADIANS(C14-C13)))))))*100/H14)</f>
        <v>2.50000616779001</v>
      </c>
      <c r="H14" s="24" t="n">
        <f aca="false">A14-A13</f>
        <v>30</v>
      </c>
      <c r="I14" s="24" t="n">
        <f aca="false">J14*COS(RADIANS(K14-Well_Data!$B$68))</f>
        <v>0.784867444420854</v>
      </c>
      <c r="J14" s="24" t="n">
        <f aca="false">SQRT(E14^2+F14^2)</f>
        <v>0.785353063623218</v>
      </c>
      <c r="K14" s="24" t="n">
        <f aca="false">IF(J14=0,0,MOD(DEGREES(ATAN2(E14,F14)),360))</f>
        <v>141.984998072288</v>
      </c>
    </row>
    <row r="15" customFormat="false" ht="15" hidden="false" customHeight="true" outlineLevel="0" collapsed="false">
      <c r="A15" s="20" t="n">
        <v>2090</v>
      </c>
      <c r="B15" s="20" t="n">
        <v>2.25</v>
      </c>
      <c r="C15" s="20" t="n">
        <v>141.99</v>
      </c>
      <c r="D15" s="24" t="n">
        <f aca="false">D14+(A15-A14)/2*(COS(RADIANS(B14))+COS(RADIANS(B15)))*(IF(ACOS(MIN(1,MAX(-1,COS(RADIANS(B15-B14))-SIN(RADIANS(B14))*SIN(RADIANS(B15))*(1-COS(RADIANS(C15-C14))))))=0,1,2/(ACOS(MIN(1,MAX(-1,COS(RADIANS(B15-B14))-SIN(RADIANS(B14))*SIN(RADIANS(B15))*(1-COS(RADIANS(C15-C14)))))))*TAN((ACOS(MIN(1,MAX(-1,COS(RADIANS(B15-B14))-SIN(RADIANS(B14))*SIN(RADIANS(B15))*(1-COS(RADIANS(C15-C14)))))))/2)))</f>
        <v>2089.9768699016</v>
      </c>
      <c r="E15" s="24" t="n">
        <f aca="false">E14+(A15-A14)/2*(SIN(RADIANS(B14))*COS(RADIANS(C14))+SIN(RADIANS(B15))*COS(RADIANS(C15)))*(IF(ACOS(MIN(1,MAX(-1,COS(RADIANS(B15-B14))-SIN(RADIANS(B14))*SIN(RADIANS(B15))*(1-COS(RADIANS(C15-C14))))))=0,1,2/(ACOS(MIN(1,MAX(-1,COS(RADIANS(B15-B14))-SIN(RADIANS(B14))*SIN(RADIANS(B15))*(1-COS(RADIANS(C15-C14)))))))*TAN((ACOS(MIN(1,MAX(-1,COS(RADIANS(B15-B14))-SIN(RADIANS(B14))*SIN(RADIANS(B15))*(1-COS(RADIANS(C15-C14)))))))/2)))</f>
        <v>-1.39228743845481</v>
      </c>
      <c r="F15" s="24" t="n">
        <f aca="false">F14+(A15-A14)/2*(SIN(RADIANS(B14))*SIN(RADIANS(C14))+SIN(RADIANS(B15))*SIN(RADIANS(C15)))*(IF(ACOS(MIN(1,MAX(-1,COS(RADIANS(B15-B14))-SIN(RADIANS(B14))*SIN(RADIANS(B15))*(1-COS(RADIANS(C15-C14))))))=0,1,2/(ACOS(MIN(1,MAX(-1,COS(RADIANS(B15-B14))-SIN(RADIANS(B14))*SIN(RADIANS(B15))*(1-COS(RADIANS(C15-C14)))))))*TAN((ACOS(MIN(1,MAX(-1,COS(RADIANS(B15-B14))-SIN(RADIANS(B14))*SIN(RADIANS(B15))*(1-COS(RADIANS(C15-C14)))))))/2)))</f>
        <v>1.08790464230548</v>
      </c>
      <c r="G15" s="24" t="n">
        <f aca="false">IF(H15=0,0,DEGREES(ACOS(MIN(1,MAX(-1,COS(RADIANS(B15-B14))-SIN(RADIANS(B14))*SIN(RADIANS(B15))*(1-COS(RADIANS(C15-C14)))))))*100/H15)</f>
        <v>2.50000365415416</v>
      </c>
      <c r="H15" s="24" t="n">
        <f aca="false">A15-A14</f>
        <v>30</v>
      </c>
      <c r="I15" s="24" t="n">
        <f aca="false">J15*COS(RADIANS(K15-Well_Data!$B$68))</f>
        <v>1.76583850341238</v>
      </c>
      <c r="J15" s="24" t="n">
        <f aca="false">SQRT(E15^2+F15^2)</f>
        <v>1.76691845370092</v>
      </c>
      <c r="K15" s="24" t="n">
        <f aca="false">IF(J15=0,0,MOD(DEGREES(ATAN2(E15,F15)),360))</f>
        <v>141.996665906248</v>
      </c>
    </row>
    <row r="16" customFormat="false" ht="15" hidden="false" customHeight="true" outlineLevel="0" collapsed="false">
      <c r="A16" s="20" t="n">
        <v>2120</v>
      </c>
      <c r="B16" s="20" t="n">
        <v>3</v>
      </c>
      <c r="C16" s="20" t="n">
        <v>142.12</v>
      </c>
      <c r="D16" s="24" t="n">
        <f aca="false">D15+(A16-A15)/2*(COS(RADIANS(B15))+COS(RADIANS(B16)))*(IF(ACOS(MIN(1,MAX(-1,COS(RADIANS(B16-B15))-SIN(RADIANS(B15))*SIN(RADIANS(B16))*(1-COS(RADIANS(C16-C15))))))=0,1,2/(ACOS(MIN(1,MAX(-1,COS(RADIANS(B16-B15))-SIN(RADIANS(B15))*SIN(RADIANS(B16))*(1-COS(RADIANS(C16-C15)))))))*TAN((ACOS(MIN(1,MAX(-1,COS(RADIANS(B16-B15))-SIN(RADIANS(B15))*SIN(RADIANS(B16))*(1-COS(RADIANS(C16-C15)))))))/2)))</f>
        <v>2119.94517640986</v>
      </c>
      <c r="E16" s="24" t="n">
        <f aca="false">E15+(A16-A15)/2*(SIN(RADIANS(B15))*COS(RADIANS(C15))+SIN(RADIANS(B16))*COS(RADIANS(C16)))*(IF(ACOS(MIN(1,MAX(-1,COS(RADIANS(B16-B15))-SIN(RADIANS(B15))*SIN(RADIANS(B16))*(1-COS(RADIANS(C16-C15))))))=0,1,2/(ACOS(MIN(1,MAX(-1,COS(RADIANS(B16-B15))-SIN(RADIANS(B15))*SIN(RADIANS(B16))*(1-COS(RADIANS(C16-C15)))))))*TAN((ACOS(MIN(1,MAX(-1,COS(RADIANS(B16-B15))-SIN(RADIANS(B15))*SIN(RADIANS(B16))*(1-COS(RADIANS(C16-C15)))))))/2)))</f>
        <v>-2.4759273288978</v>
      </c>
      <c r="F16" s="24" t="n">
        <f aca="false">F15+(A16-A15)/2*(SIN(RADIANS(B15))*SIN(RADIANS(C15))+SIN(RADIANS(B16))*SIN(RADIANS(C16)))*(IF(ACOS(MIN(1,MAX(-1,COS(RADIANS(B16-B15))-SIN(RADIANS(B15))*SIN(RADIANS(B16))*(1-COS(RADIANS(C16-C15))))))=0,1,2/(ACOS(MIN(1,MAX(-1,COS(RADIANS(B16-B15))-SIN(RADIANS(B15))*SIN(RADIANS(B16))*(1-COS(RADIANS(C16-C15)))))))*TAN((ACOS(MIN(1,MAX(-1,COS(RADIANS(B16-B15))-SIN(RADIANS(B15))*SIN(RADIANS(B16))*(1-COS(RADIANS(C16-C15)))))))/2)))</f>
        <v>1.9325808211728</v>
      </c>
      <c r="G16" s="24" t="n">
        <f aca="false">IF(H16=0,0,DEGREES(ACOS(MIN(1,MAX(-1,COS(RADIANS(B16-B15))-SIN(RADIANS(B15))*SIN(RADIANS(B16))*(1-COS(RADIANS(C16-C15)))))))*100/H16)</f>
        <v>2.50007716637952</v>
      </c>
      <c r="H16" s="24" t="n">
        <f aca="false">A16-A15</f>
        <v>30</v>
      </c>
      <c r="I16" s="24" t="n">
        <f aca="false">J16*COS(RADIANS(K16-Well_Data!$B$68))</f>
        <v>3.13900979146434</v>
      </c>
      <c r="J16" s="24" t="n">
        <f aca="false">SQRT(E16^2+F16^2)</f>
        <v>3.14087324932859</v>
      </c>
      <c r="K16" s="24" t="n">
        <f aca="false">IF(J16=0,0,MOD(DEGREES(ATAN2(E16,F16)),360))</f>
        <v>142.0262429795</v>
      </c>
    </row>
    <row r="17" customFormat="false" ht="15" hidden="false" customHeight="true" outlineLevel="0" collapsed="false">
      <c r="A17" s="20" t="n">
        <v>2150</v>
      </c>
      <c r="B17" s="20" t="n">
        <v>3.75</v>
      </c>
      <c r="C17" s="20" t="n">
        <v>142.17</v>
      </c>
      <c r="D17" s="24" t="n">
        <f aca="false">D16+(A17-A16)/2*(COS(RADIANS(B16))+COS(RADIANS(B17)))*(IF(ACOS(MIN(1,MAX(-1,COS(RADIANS(B17-B16))-SIN(RADIANS(B16))*SIN(RADIANS(B17))*(1-COS(RADIANS(C17-C16))))))=0,1,2/(ACOS(MIN(1,MAX(-1,COS(RADIANS(B17-B16))-SIN(RADIANS(B16))*SIN(RADIANS(B17))*(1-COS(RADIANS(C17-C16)))))))*TAN((ACOS(MIN(1,MAX(-1,COS(RADIANS(B17-B16))-SIN(RADIANS(B16))*SIN(RADIANS(B17))*(1-COS(RADIANS(C17-C16)))))))/2)))</f>
        <v>2149.89293090973</v>
      </c>
      <c r="E17" s="24" t="n">
        <f aca="false">E16+(A17-A16)/2*(SIN(RADIANS(B16))*COS(RADIANS(C16))+SIN(RADIANS(B17))*COS(RADIANS(C17)))*(IF(ACOS(MIN(1,MAX(-1,COS(RADIANS(B17-B16))-SIN(RADIANS(B16))*SIN(RADIANS(B17))*(1-COS(RADIANS(C17-C16))))))=0,1,2/(ACOS(MIN(1,MAX(-1,COS(RADIANS(B17-B16))-SIN(RADIANS(B16))*SIN(RADIANS(B17))*(1-COS(RADIANS(C17-C16)))))))*TAN((ACOS(MIN(1,MAX(-1,COS(RADIANS(B17-B16))-SIN(RADIANS(B16))*SIN(RADIANS(B17))*(1-COS(RADIANS(C17-C16)))))))/2)))</f>
        <v>-3.87044180311122</v>
      </c>
      <c r="F17" s="24" t="n">
        <f aca="false">F16+(A17-A16)/2*(SIN(RADIANS(B16))*SIN(RADIANS(C16))+SIN(RADIANS(B17))*SIN(RADIANS(C17)))*(IF(ACOS(MIN(1,MAX(-1,COS(RADIANS(B17-B16))-SIN(RADIANS(B16))*SIN(RADIANS(B17))*(1-COS(RADIANS(C17-C16))))))=0,1,2/(ACOS(MIN(1,MAX(-1,COS(RADIANS(B17-B16))-SIN(RADIANS(B16))*SIN(RADIANS(B17))*(1-COS(RADIANS(C17-C16)))))))*TAN((ACOS(MIN(1,MAX(-1,COS(RADIANS(B17-B16))-SIN(RADIANS(B16))*SIN(RADIANS(B17))*(1-COS(RADIANS(C17-C16)))))))/2)))</f>
        <v>3.01631447285133</v>
      </c>
      <c r="G17" s="24" t="n">
        <f aca="false">IF(H17=0,0,DEGREES(ACOS(MIN(1,MAX(-1,COS(RADIANS(B17-B16))-SIN(RADIANS(B16))*SIN(RADIANS(B17))*(1-COS(RADIANS(C17-C16)))))))*100/H17)</f>
        <v>2.50001901677757</v>
      </c>
      <c r="H17" s="24" t="n">
        <f aca="false">A17-A16</f>
        <v>30</v>
      </c>
      <c r="I17" s="24" t="n">
        <f aca="false">J17*COS(RADIANS(K17-Well_Data!$B$68))</f>
        <v>4.90419835787455</v>
      </c>
      <c r="J17" s="24" t="n">
        <f aca="false">SQRT(E17^2+F17^2)</f>
        <v>4.90698204097011</v>
      </c>
      <c r="K17" s="24" t="n">
        <f aca="false">IF(J17=0,0,MOD(DEGREES(ATAN2(E17,F17)),360))</f>
        <v>142.069984374471</v>
      </c>
    </row>
    <row r="18" customFormat="false" ht="15" hidden="false" customHeight="true" outlineLevel="0" collapsed="false">
      <c r="A18" s="20" t="n">
        <v>2180</v>
      </c>
      <c r="B18" s="20" t="n">
        <v>4.5</v>
      </c>
      <c r="C18" s="20" t="n">
        <v>142.11</v>
      </c>
      <c r="D18" s="24" t="n">
        <f aca="false">D17+(A18-A17)/2*(COS(RADIANS(B17))+COS(RADIANS(B18)))*(IF(ACOS(MIN(1,MAX(-1,COS(RADIANS(B18-B17))-SIN(RADIANS(B17))*SIN(RADIANS(B18))*(1-COS(RADIANS(C18-C17))))))=0,1,2/(ACOS(MIN(1,MAX(-1,COS(RADIANS(B18-B17))-SIN(RADIANS(B17))*SIN(RADIANS(B18))*(1-COS(RADIANS(C18-C17)))))))*TAN((ACOS(MIN(1,MAX(-1,COS(RADIANS(B18-B17))-SIN(RADIANS(B17))*SIN(RADIANS(B18))*(1-COS(RADIANS(C18-C17)))))))/2)))</f>
        <v>2179.81500203506</v>
      </c>
      <c r="E18" s="24" t="n">
        <f aca="false">E17+(A18-A17)/2*(SIN(RADIANS(B17))*COS(RADIANS(C17))+SIN(RADIANS(B18))*COS(RADIANS(C18)))*(IF(ACOS(MIN(1,MAX(-1,COS(RADIANS(B18-B17))-SIN(RADIANS(B17))*SIN(RADIANS(B18))*(1-COS(RADIANS(C18-C17))))))=0,1,2/(ACOS(MIN(1,MAX(-1,COS(RADIANS(B18-B17))-SIN(RADIANS(B17))*SIN(RADIANS(B18))*(1-COS(RADIANS(C18-C17)))))))*TAN((ACOS(MIN(1,MAX(-1,COS(RADIANS(B18-B17))-SIN(RADIANS(B17))*SIN(RADIANS(B18))*(1-COS(RADIANS(C18-C17)))))))/2)))</f>
        <v>-5.57411886482974</v>
      </c>
      <c r="F18" s="24" t="n">
        <f aca="false">F17+(A18-A17)/2*(SIN(RADIANS(B17))*SIN(RADIANS(C17))+SIN(RADIANS(B18))*SIN(RADIANS(C18)))*(IF(ACOS(MIN(1,MAX(-1,COS(RADIANS(B18-B17))-SIN(RADIANS(B17))*SIN(RADIANS(B18))*(1-COS(RADIANS(C18-C17))))))=0,1,2/(ACOS(MIN(1,MAX(-1,COS(RADIANS(B18-B17))-SIN(RADIANS(B17))*SIN(RADIANS(B18))*(1-COS(RADIANS(C18-C17)))))))*TAN((ACOS(MIN(1,MAX(-1,COS(RADIANS(B18-B17))-SIN(RADIANS(B17))*SIN(RADIANS(B18))*(1-COS(RADIANS(C18-C17)))))))/2)))</f>
        <v>4.34081160151384</v>
      </c>
      <c r="G18" s="24" t="n">
        <f aca="false">IF(H18=0,0,DEGREES(ACOS(MIN(1,MAX(-1,COS(RADIANS(B18-B17))-SIN(RADIANS(B17))*SIN(RADIANS(B18))*(1-COS(RADIANS(C18-C17)))))))*100/H18)</f>
        <v>2.50004105259485</v>
      </c>
      <c r="H18" s="24" t="n">
        <f aca="false">A18-A17</f>
        <v>30</v>
      </c>
      <c r="I18" s="24" t="n">
        <f aca="false">J18*COS(RADIANS(K18-Well_Data!$B$68))</f>
        <v>7.06102193266316</v>
      </c>
      <c r="J18" s="24" t="n">
        <f aca="false">SQRT(E18^2+F18^2)</f>
        <v>7.06494490276378</v>
      </c>
      <c r="K18" s="24" t="n">
        <f aca="false">IF(J18=0,0,MOD(DEGREES(ATAN2(E18,F18)),360))</f>
        <v>142.090538801319</v>
      </c>
    </row>
    <row r="19" customFormat="false" ht="15" hidden="false" customHeight="true" outlineLevel="0" collapsed="false">
      <c r="A19" s="20" t="n">
        <v>2210</v>
      </c>
      <c r="B19" s="20" t="n">
        <v>5.25</v>
      </c>
      <c r="C19" s="20" t="n">
        <v>142.26</v>
      </c>
      <c r="D19" s="24" t="n">
        <f aca="false">D18+(A19-A18)/2*(COS(RADIANS(B18))+COS(RADIANS(B19)))*(IF(ACOS(MIN(1,MAX(-1,COS(RADIANS(B19-B18))-SIN(RADIANS(B18))*SIN(RADIANS(B19))*(1-COS(RADIANS(C19-C18))))))=0,1,2/(ACOS(MIN(1,MAX(-1,COS(RADIANS(B19-B18))-SIN(RADIANS(B18))*SIN(RADIANS(B19))*(1-COS(RADIANS(C19-C18)))))))*TAN((ACOS(MIN(1,MAX(-1,COS(RADIANS(B19-B18))-SIN(RADIANS(B18))*SIN(RADIANS(B19))*(1-COS(RADIANS(C19-C18)))))))/2)))</f>
        <v>2209.70626289403</v>
      </c>
      <c r="E19" s="24" t="n">
        <f aca="false">E18+(A19-A18)/2*(SIN(RADIANS(B18))*COS(RADIANS(C18))+SIN(RADIANS(B19))*COS(RADIANS(C19)))*(IF(ACOS(MIN(1,MAX(-1,COS(RADIANS(B19-B18))-SIN(RADIANS(B18))*SIN(RADIANS(B19))*(1-COS(RADIANS(C19-C18))))))=0,1,2/(ACOS(MIN(1,MAX(-1,COS(RADIANS(B19-B18))-SIN(RADIANS(B18))*SIN(RADIANS(B19))*(1-COS(RADIANS(C19-C18)))))))*TAN((ACOS(MIN(1,MAX(-1,COS(RADIANS(B19-B18))-SIN(RADIANS(B18))*SIN(RADIANS(B19))*(1-COS(RADIANS(C19-C18)))))))/2)))</f>
        <v>-7.58832343189493</v>
      </c>
      <c r="F19" s="24" t="n">
        <f aca="false">F18+(A19-A18)/2*(SIN(RADIANS(B18))*SIN(RADIANS(C18))+SIN(RADIANS(B19))*SIN(RADIANS(C19)))*(IF(ACOS(MIN(1,MAX(-1,COS(RADIANS(B19-B18))-SIN(RADIANS(B18))*SIN(RADIANS(B19))*(1-COS(RADIANS(C19-C18))))))=0,1,2/(ACOS(MIN(1,MAX(-1,COS(RADIANS(B19-B18))-SIN(RADIANS(B18))*SIN(RADIANS(B19))*(1-COS(RADIANS(C19-C18)))))))*TAN((ACOS(MIN(1,MAX(-1,COS(RADIANS(B19-B18))-SIN(RADIANS(B18))*SIN(RADIANS(B19))*(1-COS(RADIANS(C19-C18)))))))/2)))</f>
        <v>5.90370940955891</v>
      </c>
      <c r="G19" s="24" t="n">
        <f aca="false">IF(H19=0,0,DEGREES(ACOS(MIN(1,MAX(-1,COS(RADIANS(B19-B18))-SIN(RADIANS(B18))*SIN(RADIANS(B19))*(1-COS(RADIANS(C19-C18)))))))*100/H19)</f>
        <v>2.50035894099297</v>
      </c>
      <c r="H19" s="24" t="n">
        <f aca="false">A19-A18</f>
        <v>30</v>
      </c>
      <c r="I19" s="24" t="n">
        <f aca="false">J19*COS(RADIANS(K19-Well_Data!$B$68))</f>
        <v>9.60919593997565</v>
      </c>
      <c r="J19" s="24" t="n">
        <f aca="false">SQRT(E19^2+F19^2)</f>
        <v>9.61438699551667</v>
      </c>
      <c r="K19" s="24" t="n">
        <f aca="false">IF(J19=0,0,MOD(DEGREES(ATAN2(E19,F19)),360))</f>
        <v>142.117113199611</v>
      </c>
    </row>
    <row r="20" customFormat="false" ht="15" hidden="false" customHeight="true" outlineLevel="0" collapsed="false">
      <c r="A20" s="20" t="n">
        <v>2240</v>
      </c>
      <c r="B20" s="20" t="n">
        <v>6</v>
      </c>
      <c r="C20" s="20" t="n">
        <v>142.35</v>
      </c>
      <c r="D20" s="24" t="n">
        <f aca="false">D19+(A20-A19)/2*(COS(RADIANS(B19))+COS(RADIANS(B20)))*(IF(ACOS(MIN(1,MAX(-1,COS(RADIANS(B20-B19))-SIN(RADIANS(B19))*SIN(RADIANS(B20))*(1-COS(RADIANS(C20-C19))))))=0,1,2/(ACOS(MIN(1,MAX(-1,COS(RADIANS(B20-B19))-SIN(RADIANS(B19))*SIN(RADIANS(B20))*(1-COS(RADIANS(C20-C19)))))))*TAN((ACOS(MIN(1,MAX(-1,COS(RADIANS(B20-B19))-SIN(RADIANS(B19))*SIN(RADIANS(B20))*(1-COS(RADIANS(C20-C19)))))))/2)))</f>
        <v>2239.5615916006</v>
      </c>
      <c r="E20" s="24" t="n">
        <f aca="false">E19+(A20-A19)/2*(SIN(RADIANS(B19))*COS(RADIANS(C19))+SIN(RADIANS(B20))*COS(RADIANS(C20)))*(IF(ACOS(MIN(1,MAX(-1,COS(RADIANS(B20-B19))-SIN(RADIANS(B19))*SIN(RADIANS(B20))*(1-COS(RADIANS(C20-C19))))))=0,1,2/(ACOS(MIN(1,MAX(-1,COS(RADIANS(B20-B19))-SIN(RADIANS(B19))*SIN(RADIANS(B20))*(1-COS(RADIANS(C20-C19)))))))*TAN((ACOS(MIN(1,MAX(-1,COS(RADIANS(B20-B19))-SIN(RADIANS(B19))*SIN(RADIANS(B20))*(1-COS(RADIANS(C20-C19)))))))/2)))</f>
        <v>-9.91516090407881</v>
      </c>
      <c r="F20" s="24" t="n">
        <f aca="false">F19+(A20-A19)/2*(SIN(RADIANS(B19))*SIN(RADIANS(C19))+SIN(RADIANS(B20))*SIN(RADIANS(C20)))*(IF(ACOS(MIN(1,MAX(-1,COS(RADIANS(B20-B19))-SIN(RADIANS(B19))*SIN(RADIANS(B20))*(1-COS(RADIANS(C20-C19))))))=0,1,2/(ACOS(MIN(1,MAX(-1,COS(RADIANS(B20-B19))-SIN(RADIANS(B19))*SIN(RADIANS(B20))*(1-COS(RADIANS(C20-C19)))))))*TAN((ACOS(MIN(1,MAX(-1,COS(RADIANS(B20-B19))-SIN(RADIANS(B19))*SIN(RADIANS(B20))*(1-COS(RADIANS(C20-C19)))))))/2)))</f>
        <v>7.70157549373346</v>
      </c>
      <c r="G20" s="24" t="n">
        <f aca="false">IF(H20=0,0,DEGREES(ACOS(MIN(1,MAX(-1,COS(RADIANS(B20-B19))-SIN(RADIANS(B19))*SIN(RADIANS(B20))*(1-COS(RADIANS(C20-C19)))))))*100/H20)</f>
        <v>2.50017216037927</v>
      </c>
      <c r="H20" s="24" t="n">
        <f aca="false">A20-A19</f>
        <v>30</v>
      </c>
      <c r="I20" s="24" t="n">
        <f aca="false">J20*COS(RADIANS(K20-Well_Data!$B$68))</f>
        <v>12.5484061679955</v>
      </c>
      <c r="J20" s="24" t="n">
        <f aca="false">SQRT(E20^2+F20^2)</f>
        <v>12.5548668188654</v>
      </c>
      <c r="K20" s="24" t="n">
        <f aca="false">IF(J20=0,0,MOD(DEGREES(ATAN2(E20,F20)),360))</f>
        <v>142.161818728154</v>
      </c>
    </row>
    <row r="21" customFormat="false" ht="15" hidden="false" customHeight="true" outlineLevel="0" collapsed="false">
      <c r="A21" s="20" t="n">
        <v>2270</v>
      </c>
      <c r="B21" s="20" t="n">
        <v>6.75</v>
      </c>
      <c r="C21" s="20" t="n">
        <v>142.32</v>
      </c>
      <c r="D21" s="24" t="n">
        <f aca="false">D20+(A21-A20)/2*(COS(RADIANS(B20))+COS(RADIANS(B21)))*(IF(ACOS(MIN(1,MAX(-1,COS(RADIANS(B21-B20))-SIN(RADIANS(B20))*SIN(RADIANS(B21))*(1-COS(RADIANS(C21-C20))))))=0,1,2/(ACOS(MIN(1,MAX(-1,COS(RADIANS(B21-B20))-SIN(RADIANS(B20))*SIN(RADIANS(B21))*(1-COS(RADIANS(C21-C20)))))))*TAN((ACOS(MIN(1,MAX(-1,COS(RADIANS(B21-B20))-SIN(RADIANS(B20))*SIN(RADIANS(B21))*(1-COS(RADIANS(C21-C20)))))))/2)))</f>
        <v>2269.37587261141</v>
      </c>
      <c r="E21" s="24" t="n">
        <f aca="false">E20+(A21-A20)/2*(SIN(RADIANS(B20))*COS(RADIANS(C20))+SIN(RADIANS(B21))*COS(RADIANS(C21)))*(IF(ACOS(MIN(1,MAX(-1,COS(RADIANS(B21-B20))-SIN(RADIANS(B20))*SIN(RADIANS(B21))*(1-COS(RADIANS(C21-C20))))))=0,1,2/(ACOS(MIN(1,MAX(-1,COS(RADIANS(B21-B20))-SIN(RADIANS(B20))*SIN(RADIANS(B21))*(1-COS(RADIANS(C21-C20)))))))*TAN((ACOS(MIN(1,MAX(-1,COS(RADIANS(B21-B20))-SIN(RADIANS(B20))*SIN(RADIANS(B21))*(1-COS(RADIANS(C21-C20)))))))/2)))</f>
        <v>-12.5519671068002</v>
      </c>
      <c r="F21" s="24" t="n">
        <f aca="false">F20+(A21-A20)/2*(SIN(RADIANS(B20))*SIN(RADIANS(C20))+SIN(RADIANS(B21))*SIN(RADIANS(C21)))*(IF(ACOS(MIN(1,MAX(-1,COS(RADIANS(B21-B20))-SIN(RADIANS(B20))*SIN(RADIANS(B21))*(1-COS(RADIANS(C21-C20))))))=0,1,2/(ACOS(MIN(1,MAX(-1,COS(RADIANS(B21-B20))-SIN(RADIANS(B20))*SIN(RADIANS(B21))*(1-COS(RADIANS(C21-C20)))))))*TAN((ACOS(MIN(1,MAX(-1,COS(RADIANS(B21-B20))-SIN(RADIANS(B20))*SIN(RADIANS(B21))*(1-COS(RADIANS(C21-C20)))))))/2)))</f>
        <v>9.73702375669801</v>
      </c>
      <c r="G21" s="24" t="n">
        <f aca="false">IF(H21=0,0,DEGREES(ACOS(MIN(1,MAX(-1,COS(RADIANS(B21-B20))-SIN(RADIANS(B20))*SIN(RADIANS(B21))*(1-COS(RADIANS(C21-C20)))))))*100/H21)</f>
        <v>2.50002457258874</v>
      </c>
      <c r="H21" s="24" t="n">
        <f aca="false">A21-A20</f>
        <v>30</v>
      </c>
      <c r="I21" s="24" t="n">
        <f aca="false">J21*COS(RADIANS(K21-Well_Data!$B$68))</f>
        <v>15.8780336676453</v>
      </c>
      <c r="J21" s="24" t="n">
        <f aca="false">SQRT(E21^2+F21^2)</f>
        <v>15.8858902768682</v>
      </c>
      <c r="K21" s="24" t="n">
        <f aca="false">IF(J21=0,0,MOD(DEGREES(ATAN2(E21,F21)),360))</f>
        <v>142.197947963061</v>
      </c>
    </row>
    <row r="22" customFormat="false" ht="15" hidden="false" customHeight="true" outlineLevel="0" collapsed="false">
      <c r="A22" s="20" t="n">
        <v>2300</v>
      </c>
      <c r="B22" s="20" t="n">
        <v>7.5</v>
      </c>
      <c r="C22" s="20" t="n">
        <v>142.23</v>
      </c>
      <c r="D22" s="24" t="n">
        <f aca="false">D21+(A22-A21)/2*(COS(RADIANS(B21))+COS(RADIANS(B22)))*(IF(ACOS(MIN(1,MAX(-1,COS(RADIANS(B22-B21))-SIN(RADIANS(B21))*SIN(RADIANS(B22))*(1-COS(RADIANS(C22-C21))))))=0,1,2/(ACOS(MIN(1,MAX(-1,COS(RADIANS(B22-B21))-SIN(RADIANS(B21))*SIN(RADIANS(B22))*(1-COS(RADIANS(C22-C21)))))))*TAN((ACOS(MIN(1,MAX(-1,COS(RADIANS(B22-B21))-SIN(RADIANS(B21))*SIN(RADIANS(B22))*(1-COS(RADIANS(C22-C21)))))))/2)))</f>
        <v>2299.14399753878</v>
      </c>
      <c r="E22" s="24" t="n">
        <f aca="false">E21+(A22-A21)/2*(SIN(RADIANS(B21))*COS(RADIANS(C21))+SIN(RADIANS(B22))*COS(RADIANS(C22)))*(IF(ACOS(MIN(1,MAX(-1,COS(RADIANS(B22-B21))-SIN(RADIANS(B21))*SIN(RADIANS(B22))*(1-COS(RADIANS(C22-C21))))))=0,1,2/(ACOS(MIN(1,MAX(-1,COS(RADIANS(B22-B21))-SIN(RADIANS(B21))*SIN(RADIANS(B22))*(1-COS(RADIANS(C22-C21)))))))*TAN((ACOS(MIN(1,MAX(-1,COS(RADIANS(B22-B21))-SIN(RADIANS(B21))*SIN(RADIANS(B22))*(1-COS(RADIANS(C22-C21)))))))/2)))</f>
        <v>-15.4950277119336</v>
      </c>
      <c r="F22" s="24" t="n">
        <f aca="false">F21+(A22-A21)/2*(SIN(RADIANS(B21))*SIN(RADIANS(C21))+SIN(RADIANS(B22))*SIN(RADIANS(C22)))*(IF(ACOS(MIN(1,MAX(-1,COS(RADIANS(B22-B21))-SIN(RADIANS(B21))*SIN(RADIANS(B22))*(1-COS(RADIANS(C22-C21))))))=0,1,2/(ACOS(MIN(1,MAX(-1,COS(RADIANS(B22-B21))-SIN(RADIANS(B21))*SIN(RADIANS(B22))*(1-COS(RADIANS(C22-C21)))))))*TAN((ACOS(MIN(1,MAX(-1,COS(RADIANS(B22-B21))-SIN(RADIANS(B21))*SIN(RADIANS(B22))*(1-COS(RADIANS(C22-C21)))))))/2)))</f>
        <v>12.0139248898209</v>
      </c>
      <c r="G22" s="24" t="n">
        <f aca="false">IF(H22=0,0,DEGREES(ACOS(MIN(1,MAX(-1,COS(RADIANS(B22-B21))-SIN(RADIANS(B21))*SIN(RADIANS(B22))*(1-COS(RADIANS(C22-C21)))))))*100/H22)</f>
        <v>2.50027614334151</v>
      </c>
      <c r="H22" s="24" t="n">
        <f aca="false">A22-A21</f>
        <v>30</v>
      </c>
      <c r="I22" s="24" t="n">
        <f aca="false">J22*COS(RADIANS(K22-Well_Data!$B$68))</f>
        <v>19.5973486196512</v>
      </c>
      <c r="J22" s="24" t="n">
        <f aca="false">SQRT(E22^2+F22^2)</f>
        <v>19.6068935594562</v>
      </c>
      <c r="K22" s="24" t="n">
        <f aca="false">IF(J22=0,0,MOD(DEGREES(ATAN2(E22,F22)),360))</f>
        <v>142.212123765172</v>
      </c>
    </row>
    <row r="23" customFormat="false" ht="15" hidden="false" customHeight="true" outlineLevel="0" collapsed="false">
      <c r="A23" s="20" t="n">
        <v>2330</v>
      </c>
      <c r="B23" s="20" t="n">
        <v>8.25</v>
      </c>
      <c r="C23" s="20" t="n">
        <v>142.32</v>
      </c>
      <c r="D23" s="24" t="n">
        <f aca="false">D22+(A23-A22)/2*(COS(RADIANS(B22))+COS(RADIANS(B23)))*(IF(ACOS(MIN(1,MAX(-1,COS(RADIANS(B23-B22))-SIN(RADIANS(B22))*SIN(RADIANS(B23))*(1-COS(RADIANS(C23-C22))))))=0,1,2/(ACOS(MIN(1,MAX(-1,COS(RADIANS(B23-B22))-SIN(RADIANS(B22))*SIN(RADIANS(B23))*(1-COS(RADIANS(C23-C22)))))))*TAN((ACOS(MIN(1,MAX(-1,COS(RADIANS(B23-B22))-SIN(RADIANS(B22))*SIN(RADIANS(B23))*(1-COS(RADIANS(C23-C22)))))))/2)))</f>
        <v>2328.86086570276</v>
      </c>
      <c r="E23" s="24" t="n">
        <f aca="false">E22+(A23-A22)/2*(SIN(RADIANS(B22))*COS(RADIANS(C22))+SIN(RADIANS(B23))*COS(RADIANS(C23)))*(IF(ACOS(MIN(1,MAX(-1,COS(RADIANS(B23-B22))-SIN(RADIANS(B22))*SIN(RADIANS(B23))*(1-COS(RADIANS(C23-C22))))))=0,1,2/(ACOS(MIN(1,MAX(-1,COS(RADIANS(B23-B22))-SIN(RADIANS(B22))*SIN(RADIANS(B23))*(1-COS(RADIANS(C23-C22)))))))*TAN((ACOS(MIN(1,MAX(-1,COS(RADIANS(B23-B22))-SIN(RADIANS(B22))*SIN(RADIANS(B23))*(1-COS(RADIANS(C23-C22)))))))/2)))</f>
        <v>-18.7462215754595</v>
      </c>
      <c r="F23" s="24" t="n">
        <f aca="false">F22+(A23-A22)/2*(SIN(RADIANS(B22))*SIN(RADIANS(C22))+SIN(RADIANS(B23))*SIN(RADIANS(C23)))*(IF(ACOS(MIN(1,MAX(-1,COS(RADIANS(B23-B22))-SIN(RADIANS(B22))*SIN(RADIANS(B23))*(1-COS(RADIANS(C23-C22))))))=0,1,2/(ACOS(MIN(1,MAX(-1,COS(RADIANS(B23-B22))-SIN(RADIANS(B22))*SIN(RADIANS(B23))*(1-COS(RADIANS(C23-C22)))))))*TAN((ACOS(MIN(1,MAX(-1,COS(RADIANS(B23-B22))-SIN(RADIANS(B22))*SIN(RADIANS(B23))*(1-COS(RADIANS(C23-C22)))))))/2)))</f>
        <v>14.5288067053515</v>
      </c>
      <c r="G23" s="24" t="n">
        <f aca="false">IF(H23=0,0,DEGREES(ACOS(MIN(1,MAX(-1,COS(RADIANS(B23-B22))-SIN(RADIANS(B22))*SIN(RADIANS(B23))*(1-COS(RADIANS(C23-C22)))))))*100/H23)</f>
        <v>2.50033711865098</v>
      </c>
      <c r="H23" s="24" t="n">
        <f aca="false">A23-A22</f>
        <v>30</v>
      </c>
      <c r="I23" s="24" t="n">
        <f aca="false">J23*COS(RADIANS(K23-Well_Data!$B$68))</f>
        <v>23.7058301496786</v>
      </c>
      <c r="J23" s="24" t="n">
        <f aca="false">SQRT(E23^2+F23^2)</f>
        <v>23.7172310280456</v>
      </c>
      <c r="K23" s="24" t="n">
        <f aca="false">IF(J23=0,0,MOD(DEGREES(ATAN2(E23,F23)),360))</f>
        <v>142.223389628784</v>
      </c>
    </row>
    <row r="24" customFormat="false" ht="15" hidden="false" customHeight="true" outlineLevel="0" collapsed="false">
      <c r="A24" s="20" t="n">
        <v>2360</v>
      </c>
      <c r="B24" s="20" t="n">
        <v>9</v>
      </c>
      <c r="C24" s="20" t="n">
        <v>142.36</v>
      </c>
      <c r="D24" s="24" t="n">
        <f aca="false">D23+(A24-A23)/2*(COS(RADIANS(B23))+COS(RADIANS(B24)))*(IF(ACOS(MIN(1,MAX(-1,COS(RADIANS(B24-B23))-SIN(RADIANS(B23))*SIN(RADIANS(B24))*(1-COS(RADIANS(C24-C23))))))=0,1,2/(ACOS(MIN(1,MAX(-1,COS(RADIANS(B24-B23))-SIN(RADIANS(B23))*SIN(RADIANS(B24))*(1-COS(RADIANS(C24-C23)))))))*TAN((ACOS(MIN(1,MAX(-1,COS(RADIANS(B24-B23))-SIN(RADIANS(B23))*SIN(RADIANS(B24))*(1-COS(RADIANS(C24-C23)))))))/2)))</f>
        <v>2358.52138516306</v>
      </c>
      <c r="E24" s="24" t="n">
        <f aca="false">E23+(A24-A23)/2*(SIN(RADIANS(B23))*COS(RADIANS(C23))+SIN(RADIANS(B24))*COS(RADIANS(C24)))*(IF(ACOS(MIN(1,MAX(-1,COS(RADIANS(B24-B23))-SIN(RADIANS(B23))*SIN(RADIANS(B24))*(1-COS(RADIANS(C24-C23))))))=0,1,2/(ACOS(MIN(1,MAX(-1,COS(RADIANS(B24-B23))-SIN(RADIANS(B23))*SIN(RADIANS(B24))*(1-COS(RADIANS(C24-C23)))))))*TAN((ACOS(MIN(1,MAX(-1,COS(RADIANS(B24-B23))-SIN(RADIANS(B23))*SIN(RADIANS(B24))*(1-COS(RADIANS(C24-C23)))))))/2)))</f>
        <v>-22.3078739959795</v>
      </c>
      <c r="F24" s="24" t="n">
        <f aca="false">F23+(A24-A23)/2*(SIN(RADIANS(B23))*SIN(RADIANS(C23))+SIN(RADIANS(B24))*SIN(RADIANS(C24)))*(IF(ACOS(MIN(1,MAX(-1,COS(RADIANS(B24-B23))-SIN(RADIANS(B23))*SIN(RADIANS(B24))*(1-COS(RADIANS(C24-C23))))))=0,1,2/(ACOS(MIN(1,MAX(-1,COS(RADIANS(B24-B23))-SIN(RADIANS(B23))*SIN(RADIANS(B24))*(1-COS(RADIANS(C24-C23)))))))*TAN((ACOS(MIN(1,MAX(-1,COS(RADIANS(B24-B23))-SIN(RADIANS(B23))*SIN(RADIANS(B24))*(1-COS(RADIANS(C24-C23)))))))/2)))</f>
        <v>17.2775092331156</v>
      </c>
      <c r="G24" s="24" t="n">
        <f aca="false">IF(H24=0,0,DEGREES(ACOS(MIN(1,MAX(-1,COS(RADIANS(B24-B23))-SIN(RADIANS(B23))*SIN(RADIANS(B24))*(1-COS(RADIANS(C24-C23)))))))*100/H24)</f>
        <v>2.50007981323953</v>
      </c>
      <c r="H24" s="24" t="n">
        <f aca="false">A24-A23</f>
        <v>30</v>
      </c>
      <c r="I24" s="24" t="n">
        <f aca="false">J24*COS(RADIANS(K24-Well_Data!$B$68))</f>
        <v>28.2029142946948</v>
      </c>
      <c r="J24" s="24" t="n">
        <f aca="false">SQRT(E24^2+F24^2)</f>
        <v>28.2161933563139</v>
      </c>
      <c r="K24" s="24" t="n">
        <f aca="false">IF(J24=0,0,MOD(DEGREES(ATAN2(E24,F24)),360))</f>
        <v>142.242120321291</v>
      </c>
    </row>
    <row r="25" customFormat="false" ht="15" hidden="false" customHeight="true" outlineLevel="0" collapsed="false">
      <c r="A25" s="20" t="n">
        <v>2390</v>
      </c>
      <c r="B25" s="20" t="n">
        <v>9.75</v>
      </c>
      <c r="C25" s="20" t="n">
        <v>142.31</v>
      </c>
      <c r="D25" s="24" t="n">
        <f aca="false">D24+(A25-A24)/2*(COS(RADIANS(B24))+COS(RADIANS(B25)))*(IF(ACOS(MIN(1,MAX(-1,COS(RADIANS(B25-B24))-SIN(RADIANS(B24))*SIN(RADIANS(B25))*(1-COS(RADIANS(C25-C24))))))=0,1,2/(ACOS(MIN(1,MAX(-1,COS(RADIANS(B25-B24))-SIN(RADIANS(B24))*SIN(RADIANS(B25))*(1-COS(RADIANS(C25-C24)))))))*TAN((ACOS(MIN(1,MAX(-1,COS(RADIANS(B25-B24))-SIN(RADIANS(B24))*SIN(RADIANS(B25))*(1-COS(RADIANS(C25-C24)))))))/2)))</f>
        <v>2388.12047385249</v>
      </c>
      <c r="E25" s="24" t="n">
        <f aca="false">E24+(A25-A24)/2*(SIN(RADIANS(B24))*COS(RADIANS(C24))+SIN(RADIANS(B25))*COS(RADIANS(C25)))*(IF(ACOS(MIN(1,MAX(-1,COS(RADIANS(B25-B24))-SIN(RADIANS(B24))*SIN(RADIANS(B25))*(1-COS(RADIANS(C25-C24))))))=0,1,2/(ACOS(MIN(1,MAX(-1,COS(RADIANS(B25-B24))-SIN(RADIANS(B24))*SIN(RADIANS(B25))*(1-COS(RADIANS(C25-C24)))))))*TAN((ACOS(MIN(1,MAX(-1,COS(RADIANS(B25-B24))-SIN(RADIANS(B24))*SIN(RADIANS(B25))*(1-COS(RADIANS(C25-C24)))))))/2)))</f>
        <v>-26.1762211416534</v>
      </c>
      <c r="F25" s="24" t="n">
        <f aca="false">F24+(A25-A24)/2*(SIN(RADIANS(B24))*SIN(RADIANS(C24))+SIN(RADIANS(B25))*SIN(RADIANS(C25)))*(IF(ACOS(MIN(1,MAX(-1,COS(RADIANS(B25-B24))-SIN(RADIANS(B24))*SIN(RADIANS(B25))*(1-COS(RADIANS(C25-C24))))))=0,1,2/(ACOS(MIN(1,MAX(-1,COS(RADIANS(B25-B24))-SIN(RADIANS(B24))*SIN(RADIANS(B25))*(1-COS(RADIANS(C25-C24)))))))*TAN((ACOS(MIN(1,MAX(-1,COS(RADIANS(B25-B24))-SIN(RADIANS(B24))*SIN(RADIANS(B25))*(1-COS(RADIANS(C25-C24)))))))/2)))</f>
        <v>20.2636416194677</v>
      </c>
      <c r="G25" s="24" t="n">
        <f aca="false">IF(H25=0,0,DEGREES(ACOS(MIN(1,MAX(-1,COS(RADIANS(B25-B24))-SIN(RADIANS(B24))*SIN(RADIANS(B25))*(1-COS(RADIANS(C25-C24)))))))*100/H25)</f>
        <v>2.50014717818959</v>
      </c>
      <c r="H25" s="24" t="n">
        <f aca="false">A25-A24</f>
        <v>30</v>
      </c>
      <c r="I25" s="24" t="n">
        <f aca="false">J25*COS(RADIANS(K25-Well_Data!$B$68))</f>
        <v>33.0876774537775</v>
      </c>
      <c r="J25" s="24" t="n">
        <f aca="false">SQRT(E25^2+F25^2)</f>
        <v>33.1030168555521</v>
      </c>
      <c r="K25" s="24" t="n">
        <f aca="false">IF(J25=0,0,MOD(DEGREES(ATAN2(E25,F25)),360))</f>
        <v>142.255685359763</v>
      </c>
    </row>
    <row r="26" customFormat="false" ht="15" hidden="false" customHeight="true" outlineLevel="0" collapsed="false">
      <c r="A26" s="20" t="n">
        <v>2420</v>
      </c>
      <c r="B26" s="20" t="n">
        <v>10.5</v>
      </c>
      <c r="C26" s="20" t="n">
        <v>142.33</v>
      </c>
      <c r="D26" s="24" t="n">
        <f aca="false">D25+(A26-A25)/2*(COS(RADIANS(B25))+COS(RADIANS(B26)))*(IF(ACOS(MIN(1,MAX(-1,COS(RADIANS(B26-B25))-SIN(RADIANS(B25))*SIN(RADIANS(B26))*(1-COS(RADIANS(C26-C25))))))=0,1,2/(ACOS(MIN(1,MAX(-1,COS(RADIANS(B26-B25))-SIN(RADIANS(B25))*SIN(RADIANS(B26))*(1-COS(RADIANS(C26-C25)))))))*TAN((ACOS(MIN(1,MAX(-1,COS(RADIANS(B26-B25))-SIN(RADIANS(B25))*SIN(RADIANS(B26))*(1-COS(RADIANS(C26-C25)))))))/2)))</f>
        <v>2417.65306005635</v>
      </c>
      <c r="E26" s="24" t="n">
        <f aca="false">E25+(A26-A25)/2*(SIN(RADIANS(B25))*COS(RADIANS(C25))+SIN(RADIANS(B26))*COS(RADIANS(C26)))*(IF(ACOS(MIN(1,MAX(-1,COS(RADIANS(B26-B25))-SIN(RADIANS(B25))*SIN(RADIANS(B26))*(1-COS(RADIANS(C26-C25))))))=0,1,2/(ACOS(MIN(1,MAX(-1,COS(RADIANS(B26-B25))-SIN(RADIANS(B25))*SIN(RADIANS(B26))*(1-COS(RADIANS(C26-C25)))))))*TAN((ACOS(MIN(1,MAX(-1,COS(RADIANS(B26-B25))-SIN(RADIANS(B25))*SIN(RADIANS(B26))*(1-COS(RADIANS(C26-C25)))))))/2)))</f>
        <v>-30.3501620384671</v>
      </c>
      <c r="F26" s="24" t="n">
        <f aca="false">F25+(A26-A25)/2*(SIN(RADIANS(B25))*SIN(RADIANS(C25))+SIN(RADIANS(B26))*SIN(RADIANS(C26)))*(IF(ACOS(MIN(1,MAX(-1,COS(RADIANS(B26-B25))-SIN(RADIANS(B25))*SIN(RADIANS(B26))*(1-COS(RADIANS(C26-C25))))))=0,1,2/(ACOS(MIN(1,MAX(-1,COS(RADIANS(B26-B25))-SIN(RADIANS(B25))*SIN(RADIANS(B26))*(1-COS(RADIANS(C26-C25)))))))*TAN((ACOS(MIN(1,MAX(-1,COS(RADIANS(B26-B25))-SIN(RADIANS(B25))*SIN(RADIANS(B26))*(1-COS(RADIANS(C26-C25)))))))/2)))</f>
        <v>23.4872604315085</v>
      </c>
      <c r="G26" s="24" t="n">
        <f aca="false">IF(H26=0,0,DEGREES(ACOS(MIN(1,MAX(-1,COS(RADIANS(B26-B25))-SIN(RADIANS(B25))*SIN(RADIANS(B26))*(1-COS(RADIANS(C26-C25)))))))*100/H26)</f>
        <v>2.50002743307319</v>
      </c>
      <c r="H26" s="24" t="n">
        <f aca="false">A26-A25</f>
        <v>30</v>
      </c>
      <c r="I26" s="24" t="n">
        <f aca="false">J26*COS(RADIANS(K26-Well_Data!$B$68))</f>
        <v>38.3592621695465</v>
      </c>
      <c r="J26" s="24" t="n">
        <f aca="false">SQRT(E26^2+F26^2)</f>
        <v>38.3768646236077</v>
      </c>
      <c r="K26" s="24" t="n">
        <f aca="false">IF(J26=0,0,MOD(DEGREES(ATAN2(E26,F26)),360))</f>
        <v>142.26457401368</v>
      </c>
    </row>
    <row r="27" customFormat="false" ht="15" hidden="false" customHeight="true" outlineLevel="0" collapsed="false">
      <c r="A27" s="20" t="n">
        <v>2450</v>
      </c>
      <c r="B27" s="20" t="n">
        <v>11.25</v>
      </c>
      <c r="C27" s="20" t="n">
        <v>142.51</v>
      </c>
      <c r="D27" s="24" t="n">
        <f aca="false">D26+(A27-A26)/2*(COS(RADIANS(B26))+COS(RADIANS(B27)))*(IF(ACOS(MIN(1,MAX(-1,COS(RADIANS(B27-B26))-SIN(RADIANS(B26))*SIN(RADIANS(B27))*(1-COS(RADIANS(C27-C26))))))=0,1,2/(ACOS(MIN(1,MAX(-1,COS(RADIANS(B27-B26))-SIN(RADIANS(B26))*SIN(RADIANS(B27))*(1-COS(RADIANS(C27-C26)))))))*TAN((ACOS(MIN(1,MAX(-1,COS(RADIANS(B27-B26))-SIN(RADIANS(B26))*SIN(RADIANS(B27))*(1-COS(RADIANS(C27-C26)))))))/2)))</f>
        <v>2447.11408441079</v>
      </c>
      <c r="E27" s="24" t="n">
        <f aca="false">E26+(A27-A26)/2*(SIN(RADIANS(B26))*COS(RADIANS(C26))+SIN(RADIANS(B27))*COS(RADIANS(C27)))*(IF(ACOS(MIN(1,MAX(-1,COS(RADIANS(B27-B26))-SIN(RADIANS(B26))*SIN(RADIANS(B27))*(1-COS(RADIANS(C27-C26))))))=0,1,2/(ACOS(MIN(1,MAX(-1,COS(RADIANS(B27-B26))-SIN(RADIANS(B26))*SIN(RADIANS(B27))*(1-COS(RADIANS(C27-C26)))))))*TAN((ACOS(MIN(1,MAX(-1,COS(RADIANS(B27-B26))-SIN(RADIANS(B26))*SIN(RADIANS(B27))*(1-COS(RADIANS(C27-C26)))))))/2)))</f>
        <v>-34.835880998451</v>
      </c>
      <c r="F27" s="24" t="n">
        <f aca="false">F26+(A27-A26)/2*(SIN(RADIANS(B26))*SIN(RADIANS(C26))+SIN(RADIANS(B27))*SIN(RADIANS(C27)))*(IF(ACOS(MIN(1,MAX(-1,COS(RADIANS(B27-B26))-SIN(RADIANS(B26))*SIN(RADIANS(B27))*(1-COS(RADIANS(C27-C26))))))=0,1,2/(ACOS(MIN(1,MAX(-1,COS(RADIANS(B27-B26))-SIN(RADIANS(B26))*SIN(RADIANS(B27))*(1-COS(RADIANS(C27-C26)))))))*TAN((ACOS(MIN(1,MAX(-1,COS(RADIANS(B27-B26))-SIN(RADIANS(B26))*SIN(RADIANS(B27))*(1-COS(RADIANS(C27-C26)))))))/2)))</f>
        <v>26.9388531229977</v>
      </c>
      <c r="G27" s="24" t="n">
        <f aca="false">IF(H27=0,0,DEGREES(ACOS(MIN(1,MAX(-1,COS(RADIANS(B27-B26))-SIN(RADIANS(B26))*SIN(RADIANS(B27))*(1-COS(RADIANS(C27-C26)))))))*100/H27)</f>
        <v>2.5025585337428</v>
      </c>
      <c r="H27" s="24" t="n">
        <f aca="false">A27-A26</f>
        <v>30</v>
      </c>
      <c r="I27" s="24" t="n">
        <f aca="false">J27*COS(RADIANS(K27-Well_Data!$B$68))</f>
        <v>44.0170803211413</v>
      </c>
      <c r="J27" s="24" t="n">
        <f aca="false">SQRT(E27^2+F27^2)</f>
        <v>44.0368074742105</v>
      </c>
      <c r="K27" s="24" t="n">
        <f aca="false">IF(J27=0,0,MOD(DEGREES(ATAN2(E27,F27)),360))</f>
        <v>142.284944659873</v>
      </c>
    </row>
    <row r="28" customFormat="false" ht="15" hidden="false" customHeight="true" outlineLevel="0" collapsed="false">
      <c r="A28" s="20" t="n">
        <v>2480</v>
      </c>
      <c r="B28" s="20" t="n">
        <v>12</v>
      </c>
      <c r="C28" s="20" t="n">
        <v>142.53</v>
      </c>
      <c r="D28" s="24" t="n">
        <f aca="false">D27+(A28-A27)/2*(COS(RADIANS(B27))+COS(RADIANS(B28)))*(IF(ACOS(MIN(1,MAX(-1,COS(RADIANS(B28-B27))-SIN(RADIANS(B27))*SIN(RADIANS(B28))*(1-COS(RADIANS(C28-C27))))))=0,1,2/(ACOS(MIN(1,MAX(-1,COS(RADIANS(B28-B27))-SIN(RADIANS(B27))*SIN(RADIANS(B28))*(1-COS(RADIANS(C28-C27)))))))*TAN((ACOS(MIN(1,MAX(-1,COS(RADIANS(B28-B27))-SIN(RADIANS(B27))*SIN(RADIANS(B28))*(1-COS(RADIANS(C28-C27)))))))/2)))</f>
        <v>2476.49849721946</v>
      </c>
      <c r="E28" s="24" t="n">
        <f aca="false">E27+(A28-A27)/2*(SIN(RADIANS(B27))*COS(RADIANS(C27))+SIN(RADIANS(B28))*COS(RADIANS(C28)))*(IF(ACOS(MIN(1,MAX(-1,COS(RADIANS(B28-B27))-SIN(RADIANS(B27))*SIN(RADIANS(B28))*(1-COS(RADIANS(C28-C27))))))=0,1,2/(ACOS(MIN(1,MAX(-1,COS(RADIANS(B28-B27))-SIN(RADIANS(B27))*SIN(RADIANS(B28))*(1-COS(RADIANS(C28-C27)))))))*TAN((ACOS(MIN(1,MAX(-1,COS(RADIANS(B28-B27))-SIN(RADIANS(B27))*SIN(RADIANS(B28))*(1-COS(RADIANS(C28-C27)))))))/2)))</f>
        <v>-39.6330990102598</v>
      </c>
      <c r="F28" s="24" t="n">
        <f aca="false">F27+(A28-A27)/2*(SIN(RADIANS(B27))*SIN(RADIANS(C27))+SIN(RADIANS(B28))*SIN(RADIANS(C28)))*(IF(ACOS(MIN(1,MAX(-1,COS(RADIANS(B28-B27))-SIN(RADIANS(B27))*SIN(RADIANS(B28))*(1-COS(RADIANS(C28-C27))))))=0,1,2/(ACOS(MIN(1,MAX(-1,COS(RADIANS(B28-B27))-SIN(RADIANS(B27))*SIN(RADIANS(B28))*(1-COS(RADIANS(C28-C27)))))))*TAN((ACOS(MIN(1,MAX(-1,COS(RADIANS(B28-B27))-SIN(RADIANS(B27))*SIN(RADIANS(B28))*(1-COS(RADIANS(C28-C27)))))))/2)))</f>
        <v>30.6171858828501</v>
      </c>
      <c r="G28" s="24" t="n">
        <f aca="false">IF(H28=0,0,DEGREES(ACOS(MIN(1,MAX(-1,COS(RADIANS(B28-B27))-SIN(RADIANS(B27))*SIN(RADIANS(B28))*(1-COS(RADIANS(C28-C27)))))))*100/H28)</f>
        <v>2.50003605548788</v>
      </c>
      <c r="H28" s="24" t="n">
        <f aca="false">A28-A27</f>
        <v>30</v>
      </c>
      <c r="I28" s="24" t="n">
        <f aca="false">J28*COS(RADIANS(K28-Well_Data!$B$68))</f>
        <v>50.0601809676817</v>
      </c>
      <c r="J28" s="24" t="n">
        <f aca="false">SQRT(E28^2+F28^2)</f>
        <v>50.0818790436426</v>
      </c>
      <c r="K28" s="24" t="n">
        <f aca="false">IF(J28=0,0,MOD(DEGREES(ATAN2(E28,F28)),360))</f>
        <v>142.31335525893</v>
      </c>
    </row>
    <row r="29" customFormat="false" ht="15" hidden="false" customHeight="true" outlineLevel="0" collapsed="false">
      <c r="A29" s="20" t="n">
        <v>2510</v>
      </c>
      <c r="B29" s="20" t="n">
        <v>12.75</v>
      </c>
      <c r="C29" s="20" t="n">
        <v>142.54</v>
      </c>
      <c r="D29" s="24" t="n">
        <f aca="false">D28+(A29-A28)/2*(COS(RADIANS(B28))+COS(RADIANS(B29)))*(IF(ACOS(MIN(1,MAX(-1,COS(RADIANS(B29-B28))-SIN(RADIANS(B28))*SIN(RADIANS(B29))*(1-COS(RADIANS(C29-C28))))))=0,1,2/(ACOS(MIN(1,MAX(-1,COS(RADIANS(B29-B28))-SIN(RADIANS(B28))*SIN(RADIANS(B29))*(1-COS(RADIANS(C29-C28)))))))*TAN((ACOS(MIN(1,MAX(-1,COS(RADIANS(B29-B28))-SIN(RADIANS(B28))*SIN(RADIANS(B29))*(1-COS(RADIANS(C29-C28)))))))/2)))</f>
        <v>2505.80126445521</v>
      </c>
      <c r="E29" s="24" t="n">
        <f aca="false">E28+(A29-A28)/2*(SIN(RADIANS(B28))*COS(RADIANS(C28))+SIN(RADIANS(B29))*COS(RADIANS(C29)))*(IF(ACOS(MIN(1,MAX(-1,COS(RADIANS(B29-B28))-SIN(RADIANS(B28))*SIN(RADIANS(B29))*(1-COS(RADIANS(C29-C28))))))=0,1,2/(ACOS(MIN(1,MAX(-1,COS(RADIANS(B29-B28))-SIN(RADIANS(B28))*SIN(RADIANS(B29))*(1-COS(RADIANS(C29-C28)))))))*TAN((ACOS(MIN(1,MAX(-1,COS(RADIANS(B29-B28))-SIN(RADIANS(B28))*SIN(RADIANS(B29))*(1-COS(RADIANS(C29-C28)))))))/2)))</f>
        <v>-44.7361491221813</v>
      </c>
      <c r="F29" s="24" t="n">
        <f aca="false">F28+(A29-A28)/2*(SIN(RADIANS(B28))*SIN(RADIANS(C28))+SIN(RADIANS(B29))*SIN(RADIANS(C29)))*(IF(ACOS(MIN(1,MAX(-1,COS(RADIANS(B29-B28))-SIN(RADIANS(B28))*SIN(RADIANS(B29))*(1-COS(RADIANS(C29-C28))))))=0,1,2/(ACOS(MIN(1,MAX(-1,COS(RADIANS(B29-B28))-SIN(RADIANS(B28))*SIN(RADIANS(B29))*(1-COS(RADIANS(C29-C28)))))))*TAN((ACOS(MIN(1,MAX(-1,COS(RADIANS(B29-B28))-SIN(RADIANS(B28))*SIN(RADIANS(B29))*(1-COS(RADIANS(C29-C28)))))))/2)))</f>
        <v>34.5279224891962</v>
      </c>
      <c r="G29" s="24" t="n">
        <f aca="false">IF(H29=0,0,DEGREES(ACOS(MIN(1,MAX(-1,COS(RADIANS(B29-B28))-SIN(RADIANS(B28))*SIN(RADIANS(B29))*(1-COS(RADIANS(C29-C28)))))))*100/H29)</f>
        <v>2.50001019706556</v>
      </c>
      <c r="H29" s="24" t="n">
        <f aca="false">A29-A28</f>
        <v>30</v>
      </c>
      <c r="I29" s="24" t="n">
        <f aca="false">J29*COS(RADIANS(K29-Well_Data!$B$68))</f>
        <v>56.4873085341837</v>
      </c>
      <c r="J29" s="24" t="n">
        <f aca="false">SQRT(E29^2+F29^2)</f>
        <v>56.5110650200647</v>
      </c>
      <c r="K29" s="24" t="n">
        <f aca="false">IF(J29=0,0,MOD(DEGREES(ATAN2(E29,F29)),360))</f>
        <v>142.338588550001</v>
      </c>
    </row>
    <row r="30" customFormat="false" ht="15" hidden="false" customHeight="true" outlineLevel="0" collapsed="false">
      <c r="A30" s="20" t="n">
        <v>2540</v>
      </c>
      <c r="B30" s="20" t="n">
        <v>13.5</v>
      </c>
      <c r="C30" s="20" t="n">
        <v>142.62</v>
      </c>
      <c r="D30" s="24" t="n">
        <f aca="false">D29+(A30-A29)/2*(COS(RADIANS(B29))+COS(RADIANS(B30)))*(IF(ACOS(MIN(1,MAX(-1,COS(RADIANS(B30-B29))-SIN(RADIANS(B29))*SIN(RADIANS(B30))*(1-COS(RADIANS(C30-C29))))))=0,1,2/(ACOS(MIN(1,MAX(-1,COS(RADIANS(B30-B29))-SIN(RADIANS(B29))*SIN(RADIANS(B30))*(1-COS(RADIANS(C30-C29)))))))*TAN((ACOS(MIN(1,MAX(-1,COS(RADIANS(B30-B29))-SIN(RADIANS(B29))*SIN(RADIANS(B30))*(1-COS(RADIANS(C30-C29)))))))/2)))</f>
        <v>2535.01736548954</v>
      </c>
      <c r="E30" s="24" t="n">
        <f aca="false">E29+(A30-A29)/2*(SIN(RADIANS(B29))*COS(RADIANS(C29))+SIN(RADIANS(B30))*COS(RADIANS(C30)))*(IF(ACOS(MIN(1,MAX(-1,COS(RADIANS(B30-B29))-SIN(RADIANS(B29))*SIN(RADIANS(B30))*(1-COS(RADIANS(C30-C29))))))=0,1,2/(ACOS(MIN(1,MAX(-1,COS(RADIANS(B30-B29))-SIN(RADIANS(B29))*SIN(RADIANS(B30))*(1-COS(RADIANS(C30-C29)))))))*TAN((ACOS(MIN(1,MAX(-1,COS(RADIANS(B30-B29))-SIN(RADIANS(B29))*SIN(RADIANS(B30))*(1-COS(RADIANS(C30-C29)))))))/2)))</f>
        <v>-50.1465268113004</v>
      </c>
      <c r="F30" s="24" t="n">
        <f aca="false">F29+(A30-A29)/2*(SIN(RADIANS(B29))*SIN(RADIANS(C29))+SIN(RADIANS(B30))*SIN(RADIANS(C30)))*(IF(ACOS(MIN(1,MAX(-1,COS(RADIANS(B30-B29))-SIN(RADIANS(B29))*SIN(RADIANS(B30))*(1-COS(RADIANS(C30-C29))))))=0,1,2/(ACOS(MIN(1,MAX(-1,COS(RADIANS(B30-B29))-SIN(RADIANS(B29))*SIN(RADIANS(B30))*(1-COS(RADIANS(C30-C29)))))))*TAN((ACOS(MIN(1,MAX(-1,COS(RADIANS(B30-B29))-SIN(RADIANS(B29))*SIN(RADIANS(B30))*(1-COS(RADIANS(C30-C29)))))))/2)))</f>
        <v>38.6672938309855</v>
      </c>
      <c r="G30" s="24" t="n">
        <f aca="false">IF(H30=0,0,DEGREES(ACOS(MIN(1,MAX(-1,COS(RADIANS(B30-B29))-SIN(RADIANS(B29))*SIN(RADIANS(B30))*(1-COS(RADIANS(C30-C29)))))))*100/H30)</f>
        <v>2.50073265362514</v>
      </c>
      <c r="H30" s="24" t="n">
        <f aca="false">A30-A29</f>
        <v>30</v>
      </c>
      <c r="I30" s="24" t="n">
        <f aca="false">J30*COS(RADIANS(K30-Well_Data!$B$68))</f>
        <v>63.2974574591339</v>
      </c>
      <c r="J30" s="24" t="n">
        <f aca="false">SQRT(E30^2+F30^2)</f>
        <v>63.3232482067071</v>
      </c>
      <c r="K30" s="24" t="n">
        <f aca="false">IF(J30=0,0,MOD(DEGREES(ATAN2(E30,F30)),360))</f>
        <v>142.364680012542</v>
      </c>
    </row>
    <row r="31" customFormat="false" ht="15" hidden="false" customHeight="true" outlineLevel="0" collapsed="false">
      <c r="A31" s="20" t="n">
        <v>2570</v>
      </c>
      <c r="B31" s="20" t="n">
        <v>14.25</v>
      </c>
      <c r="C31" s="20" t="n">
        <v>142.51</v>
      </c>
      <c r="D31" s="24" t="n">
        <f aca="false">D30+(A31-A30)/2*(COS(RADIANS(B30))+COS(RADIANS(B31)))*(IF(ACOS(MIN(1,MAX(-1,COS(RADIANS(B31-B30))-SIN(RADIANS(B30))*SIN(RADIANS(B31))*(1-COS(RADIANS(C31-C30))))))=0,1,2/(ACOS(MIN(1,MAX(-1,COS(RADIANS(B31-B30))-SIN(RADIANS(B30))*SIN(RADIANS(B31))*(1-COS(RADIANS(C31-C30)))))))*TAN((ACOS(MIN(1,MAX(-1,COS(RADIANS(B31-B30))-SIN(RADIANS(B30))*SIN(RADIANS(B31))*(1-COS(RADIANS(C31-C30)))))))/2)))</f>
        <v>2564.14179432238</v>
      </c>
      <c r="E31" s="24" t="n">
        <f aca="false">E30+(A31-A30)/2*(SIN(RADIANS(B30))*COS(RADIANS(C30))+SIN(RADIANS(B31))*COS(RADIANS(C31)))*(IF(ACOS(MIN(1,MAX(-1,COS(RADIANS(B31-B30))-SIN(RADIANS(B30))*SIN(RADIANS(B31))*(1-COS(RADIANS(C31-C30))))))=0,1,2/(ACOS(MIN(1,MAX(-1,COS(RADIANS(B31-B30))-SIN(RADIANS(B30))*SIN(RADIANS(B31))*(1-COS(RADIANS(C31-C30)))))))*TAN((ACOS(MIN(1,MAX(-1,COS(RADIANS(B31-B30))-SIN(RADIANS(B30))*SIN(RADIANS(B31))*(1-COS(RADIANS(C31-C30)))))))/2)))</f>
        <v>-55.8588271833798</v>
      </c>
      <c r="F31" s="24" t="n">
        <f aca="false">F30+(A31-A30)/2*(SIN(RADIANS(B30))*SIN(RADIANS(C30))+SIN(RADIANS(B31))*SIN(RADIANS(C31)))*(IF(ACOS(MIN(1,MAX(-1,COS(RADIANS(B31-B30))-SIN(RADIANS(B30))*SIN(RADIANS(B31))*(1-COS(RADIANS(C31-C30))))))=0,1,2/(ACOS(MIN(1,MAX(-1,COS(RADIANS(B31-B30))-SIN(RADIANS(B30))*SIN(RADIANS(B31))*(1-COS(RADIANS(C31-C30)))))))*TAN((ACOS(MIN(1,MAX(-1,COS(RADIANS(B31-B30))-SIN(RADIANS(B30))*SIN(RADIANS(B31))*(1-COS(RADIANS(C31-C30)))))))/2)))</f>
        <v>43.040439467765</v>
      </c>
      <c r="G31" s="24" t="n">
        <f aca="false">IF(H31=0,0,DEGREES(ACOS(MIN(1,MAX(-1,COS(RADIANS(B31-B30))-SIN(RADIANS(B30))*SIN(RADIANS(B31))*(1-COS(RADIANS(C31-C30)))))))*100/H31)</f>
        <v>2.50154469196544</v>
      </c>
      <c r="H31" s="24" t="n">
        <f aca="false">A31-A30</f>
        <v>30</v>
      </c>
      <c r="I31" s="24" t="n">
        <f aca="false">J31*COS(RADIANS(K31-Well_Data!$B$68))</f>
        <v>70.4892760485467</v>
      </c>
      <c r="J31" s="24" t="n">
        <f aca="false">SQRT(E31^2+F31^2)</f>
        <v>70.5172886878178</v>
      </c>
      <c r="K31" s="24" t="n">
        <f aca="false">IF(J31=0,0,MOD(DEGREES(ATAN2(E31,F31)),360))</f>
        <v>142.384967673737</v>
      </c>
    </row>
    <row r="32" customFormat="false" ht="15" hidden="false" customHeight="true" outlineLevel="0" collapsed="false">
      <c r="A32" s="20" t="n">
        <v>2600</v>
      </c>
      <c r="B32" s="20" t="n">
        <v>15</v>
      </c>
      <c r="C32" s="20" t="n">
        <v>142.67</v>
      </c>
      <c r="D32" s="24" t="n">
        <f aca="false">D31+(A32-A31)/2*(COS(RADIANS(B31))+COS(RADIANS(B32)))*(IF(ACOS(MIN(1,MAX(-1,COS(RADIANS(B32-B31))-SIN(RADIANS(B31))*SIN(RADIANS(B32))*(1-COS(RADIANS(C32-C31))))))=0,1,2/(ACOS(MIN(1,MAX(-1,COS(RADIANS(B32-B31))-SIN(RADIANS(B31))*SIN(RADIANS(B32))*(1-COS(RADIANS(C32-C31)))))))*TAN((ACOS(MIN(1,MAX(-1,COS(RADIANS(B32-B31))-SIN(RADIANS(B31))*SIN(RADIANS(B32))*(1-COS(RADIANS(C32-C31)))))))/2)))</f>
        <v>2593.16956105112</v>
      </c>
      <c r="E32" s="24" t="n">
        <f aca="false">E31+(A32-A31)/2*(SIN(RADIANS(B31))*COS(RADIANS(C31))+SIN(RADIANS(B32))*COS(RADIANS(C32)))*(IF(ACOS(MIN(1,MAX(-1,COS(RADIANS(B32-B31))-SIN(RADIANS(B31))*SIN(RADIANS(B32))*(1-COS(RADIANS(C32-C31))))))=0,1,2/(ACOS(MIN(1,MAX(-1,COS(RADIANS(B32-B31))-SIN(RADIANS(B31))*SIN(RADIANS(B32))*(1-COS(RADIANS(C32-C31)))))))*TAN((ACOS(MIN(1,MAX(-1,COS(RADIANS(B32-B31))-SIN(RADIANS(B31))*SIN(RADIANS(B32))*(1-COS(RADIANS(C32-C31)))))))/2)))</f>
        <v>-61.8756267116862</v>
      </c>
      <c r="F32" s="24" t="n">
        <f aca="false">F31+(A32-A31)/2*(SIN(RADIANS(B31))*SIN(RADIANS(C31))+SIN(RADIANS(B32))*SIN(RADIANS(C32)))*(IF(ACOS(MIN(1,MAX(-1,COS(RADIANS(B32-B31))-SIN(RADIANS(B31))*SIN(RADIANS(B32))*(1-COS(RADIANS(C32-C31))))))=0,1,2/(ACOS(MIN(1,MAX(-1,COS(RADIANS(B32-B31))-SIN(RADIANS(B31))*SIN(RADIANS(B32))*(1-COS(RADIANS(C32-C31)))))))*TAN((ACOS(MIN(1,MAX(-1,COS(RADIANS(B32-B31))-SIN(RADIANS(B31))*SIN(RADIANS(B32))*(1-COS(RADIANS(C32-C31)))))))/2)))</f>
        <v>47.6419602970452</v>
      </c>
      <c r="G32" s="24" t="n">
        <f aca="false">IF(H32=0,0,DEGREES(ACOS(MIN(1,MAX(-1,COS(RADIANS(B32-B31))-SIN(RADIANS(B31))*SIN(RADIANS(B32))*(1-COS(RADIANS(C32-C31)))))))*100/H32)</f>
        <v>2.50362182112184</v>
      </c>
      <c r="H32" s="24" t="n">
        <f aca="false">A32-A31</f>
        <v>30</v>
      </c>
      <c r="I32" s="24" t="n">
        <f aca="false">J32*COS(RADIANS(K32-Well_Data!$B$68))</f>
        <v>78.0616752002613</v>
      </c>
      <c r="J32" s="24" t="n">
        <f aca="false">SQRT(E32^2+F32^2)</f>
        <v>78.0919301971027</v>
      </c>
      <c r="K32" s="24" t="n">
        <f aca="false">IF(J32=0,0,MOD(DEGREES(ATAN2(E32,F32)),360))</f>
        <v>142.40504979049</v>
      </c>
    </row>
    <row r="33" customFormat="false" ht="15" hidden="false" customHeight="true" outlineLevel="0" collapsed="false">
      <c r="A33" s="20" t="n">
        <v>2630</v>
      </c>
      <c r="B33" s="20" t="n">
        <v>15.75</v>
      </c>
      <c r="C33" s="20" t="n">
        <v>142.72</v>
      </c>
      <c r="D33" s="24" t="n">
        <f aca="false">D32+(A33-A32)/2*(COS(RADIANS(B32))+COS(RADIANS(B33)))*(IF(ACOS(MIN(1,MAX(-1,COS(RADIANS(B33-B32))-SIN(RADIANS(B32))*SIN(RADIANS(B33))*(1-COS(RADIANS(C33-C32))))))=0,1,2/(ACOS(MIN(1,MAX(-1,COS(RADIANS(B33-B32))-SIN(RADIANS(B32))*SIN(RADIANS(B33))*(1-COS(RADIANS(C33-C32)))))))*TAN((ACOS(MIN(1,MAX(-1,COS(RADIANS(B33-B32))-SIN(RADIANS(B32))*SIN(RADIANS(B33))*(1-COS(RADIANS(C33-C32)))))))/2)))</f>
        <v>2622.09569015692</v>
      </c>
      <c r="E33" s="24" t="n">
        <f aca="false">E32+(A33-A32)/2*(SIN(RADIANS(B32))*COS(RADIANS(C32))+SIN(RADIANS(B33))*COS(RADIANS(C33)))*(IF(ACOS(MIN(1,MAX(-1,COS(RADIANS(B33-B32))-SIN(RADIANS(B32))*SIN(RADIANS(B33))*(1-COS(RADIANS(C33-C32))))))=0,1,2/(ACOS(MIN(1,MAX(-1,COS(RADIANS(B33-B32))-SIN(RADIANS(B32))*SIN(RADIANS(B33))*(1-COS(RADIANS(C33-C32)))))))*TAN((ACOS(MIN(1,MAX(-1,COS(RADIANS(B33-B32))-SIN(RADIANS(B32))*SIN(RADIANS(B33))*(1-COS(RADIANS(C33-C32)))))))/2)))</f>
        <v>-68.2024563906363</v>
      </c>
      <c r="F33" s="24" t="n">
        <f aca="false">F32+(A33-A32)/2*(SIN(RADIANS(B32))*SIN(RADIANS(C32))+SIN(RADIANS(B33))*SIN(RADIANS(C33)))*(IF(ACOS(MIN(1,MAX(-1,COS(RADIANS(B33-B32))-SIN(RADIANS(B32))*SIN(RADIANS(B33))*(1-COS(RADIANS(C33-C32))))))=0,1,2/(ACOS(MIN(1,MAX(-1,COS(RADIANS(B33-B32))-SIN(RADIANS(B32))*SIN(RADIANS(B33))*(1-COS(RADIANS(C33-C32)))))))*TAN((ACOS(MIN(1,MAX(-1,COS(RADIANS(B33-B32))-SIN(RADIANS(B32))*SIN(RADIANS(B33))*(1-COS(RADIANS(C33-C32)))))))/2)))</f>
        <v>52.4624816569839</v>
      </c>
      <c r="G33" s="24" t="n">
        <f aca="false">IF(H33=0,0,DEGREES(ACOS(MIN(1,MAX(-1,COS(RADIANS(B33-B32))-SIN(RADIANS(B32))*SIN(RADIANS(B33))*(1-COS(RADIANS(C33-C32)))))))*100/H33)</f>
        <v>2.50039028042765</v>
      </c>
      <c r="H33" s="24" t="n">
        <f aca="false">A33-A32</f>
        <v>30</v>
      </c>
      <c r="I33" s="24" t="n">
        <f aca="false">J33*COS(RADIANS(K33-Well_Data!$B$68))</f>
        <v>86.0136192947805</v>
      </c>
      <c r="J33" s="24" t="n">
        <f aca="false">SQRT(E33^2+F33^2)</f>
        <v>86.0458426614907</v>
      </c>
      <c r="K33" s="24" t="n">
        <f aca="false">IF(J33=0,0,MOD(DEGREES(ATAN2(E33,F33)),360))</f>
        <v>142.431907436366</v>
      </c>
    </row>
    <row r="34" customFormat="false" ht="15" hidden="false" customHeight="true" outlineLevel="0" collapsed="false">
      <c r="A34" s="20" t="n">
        <v>2660</v>
      </c>
      <c r="B34" s="20" t="n">
        <v>16.5</v>
      </c>
      <c r="C34" s="20" t="n">
        <v>142.71</v>
      </c>
      <c r="D34" s="24" t="n">
        <f aca="false">D33+(A34-A33)/2*(COS(RADIANS(B33))+COS(RADIANS(B34)))*(IF(ACOS(MIN(1,MAX(-1,COS(RADIANS(B34-B33))-SIN(RADIANS(B33))*SIN(RADIANS(B34))*(1-COS(RADIANS(C34-C33))))))=0,1,2/(ACOS(MIN(1,MAX(-1,COS(RADIANS(B34-B33))-SIN(RADIANS(B33))*SIN(RADIANS(B34))*(1-COS(RADIANS(C34-C33)))))))*TAN((ACOS(MIN(1,MAX(-1,COS(RADIANS(B34-B33))-SIN(RADIANS(B33))*SIN(RADIANS(B34))*(1-COS(RADIANS(C34-C33)))))))/2)))</f>
        <v>2650.91522624603</v>
      </c>
      <c r="E34" s="24" t="n">
        <f aca="false">E33+(A34-A33)/2*(SIN(RADIANS(B33))*COS(RADIANS(C33))+SIN(RADIANS(B34))*COS(RADIANS(C34)))*(IF(ACOS(MIN(1,MAX(-1,COS(RADIANS(B34-B33))-SIN(RADIANS(B33))*SIN(RADIANS(B34))*(1-COS(RADIANS(C34-C33))))))=0,1,2/(ACOS(MIN(1,MAX(-1,COS(RADIANS(B34-B33))-SIN(RADIANS(B33))*SIN(RADIANS(B34))*(1-COS(RADIANS(C34-C33)))))))*TAN((ACOS(MIN(1,MAX(-1,COS(RADIANS(B34-B33))-SIN(RADIANS(B33))*SIN(RADIANS(B34))*(1-COS(RADIANS(C34-C33)))))))/2)))</f>
        <v>-74.831617965487</v>
      </c>
      <c r="F34" s="24" t="n">
        <f aca="false">F33+(A34-A33)/2*(SIN(RADIANS(B33))*SIN(RADIANS(C33))+SIN(RADIANS(B34))*SIN(RADIANS(C34)))*(IF(ACOS(MIN(1,MAX(-1,COS(RADIANS(B34-B33))-SIN(RADIANS(B33))*SIN(RADIANS(B34))*(1-COS(RADIANS(C34-C33))))))=0,1,2/(ACOS(MIN(1,MAX(-1,COS(RADIANS(B34-B33))-SIN(RADIANS(B33))*SIN(RADIANS(B34))*(1-COS(RADIANS(C34-C33)))))))*TAN((ACOS(MIN(1,MAX(-1,COS(RADIANS(B34-B33))-SIN(RADIANS(B33))*SIN(RADIANS(B34))*(1-COS(RADIANS(C34-C33)))))))/2)))</f>
        <v>57.509828016471</v>
      </c>
      <c r="G34" s="24" t="n">
        <f aca="false">IF(H34=0,0,DEGREES(ACOS(MIN(1,MAX(-1,COS(RADIANS(B34-B33))-SIN(RADIANS(B33))*SIN(RADIANS(B34))*(1-COS(RADIANS(C34-C33)))))))*100/H34)</f>
        <v>2.50001713226525</v>
      </c>
      <c r="H34" s="24" t="n">
        <f aca="false">A34-A33</f>
        <v>30</v>
      </c>
      <c r="I34" s="24" t="n">
        <f aca="false">J34*COS(RADIANS(K34-Well_Data!$B$68))</f>
        <v>94.3434794206107</v>
      </c>
      <c r="J34" s="24" t="n">
        <f aca="false">SQRT(E34^2+F34^2)</f>
        <v>94.3777058728207</v>
      </c>
      <c r="K34" s="24" t="n">
        <f aca="false">IF(J34=0,0,MOD(DEGREES(ATAN2(E34,F34)),360))</f>
        <v>142.456889629792</v>
      </c>
    </row>
    <row r="35" customFormat="false" ht="15" hidden="false" customHeight="true" outlineLevel="0" collapsed="false">
      <c r="A35" s="20" t="n">
        <v>2690</v>
      </c>
      <c r="B35" s="20" t="n">
        <v>17.25</v>
      </c>
      <c r="C35" s="20" t="n">
        <v>142.62</v>
      </c>
      <c r="D35" s="24" t="n">
        <f aca="false">D34+(A35-A34)/2*(COS(RADIANS(B34))+COS(RADIANS(B35)))*(IF(ACOS(MIN(1,MAX(-1,COS(RADIANS(B35-B34))-SIN(RADIANS(B34))*SIN(RADIANS(B35))*(1-COS(RADIANS(C35-C34))))))=0,1,2/(ACOS(MIN(1,MAX(-1,COS(RADIANS(B35-B34))-SIN(RADIANS(B34))*SIN(RADIANS(B35))*(1-COS(RADIANS(C35-C34)))))))*TAN((ACOS(MIN(1,MAX(-1,COS(RADIANS(B35-B34))-SIN(RADIANS(B34))*SIN(RADIANS(B35))*(1-COS(RADIANS(C35-C34)))))))/2)))</f>
        <v>2679.62323185419</v>
      </c>
      <c r="E35" s="24" t="n">
        <f aca="false">E34+(A35-A34)/2*(SIN(RADIANS(B34))*COS(RADIANS(C34))+SIN(RADIANS(B35))*COS(RADIANS(C35)))*(IF(ACOS(MIN(1,MAX(-1,COS(RADIANS(B35-B34))-SIN(RADIANS(B34))*SIN(RADIANS(B35))*(1-COS(RADIANS(C35-C34))))))=0,1,2/(ACOS(MIN(1,MAX(-1,COS(RADIANS(B35-B34))-SIN(RADIANS(B34))*SIN(RADIANS(B35))*(1-COS(RADIANS(C35-C34)))))))*TAN((ACOS(MIN(1,MAX(-1,COS(RADIANS(B35-B34))-SIN(RADIANS(B34))*SIN(RADIANS(B35))*(1-COS(RADIANS(C35-C34)))))))/2)))</f>
        <v>-81.7556648993473</v>
      </c>
      <c r="F35" s="24" t="n">
        <f aca="false">F34+(A35-A34)/2*(SIN(RADIANS(B34))*SIN(RADIANS(C34))+SIN(RADIANS(B35))*SIN(RADIANS(C35)))*(IF(ACOS(MIN(1,MAX(-1,COS(RADIANS(B35-B34))-SIN(RADIANS(B34))*SIN(RADIANS(B35))*(1-COS(RADIANS(C35-C34))))))=0,1,2/(ACOS(MIN(1,MAX(-1,COS(RADIANS(B35-B34))-SIN(RADIANS(B34))*SIN(RADIANS(B35))*(1-COS(RADIANS(C35-C34)))))))*TAN((ACOS(MIN(1,MAX(-1,COS(RADIANS(B35-B34))-SIN(RADIANS(B34))*SIN(RADIANS(B35))*(1-COS(RADIANS(C35-C34)))))))/2)))</f>
        <v>62.7914112544644</v>
      </c>
      <c r="G35" s="24" t="n">
        <f aca="false">IF(H35=0,0,DEGREES(ACOS(MIN(1,MAX(-1,COS(RADIANS(B35-B34))-SIN(RADIANS(B34))*SIN(RADIANS(B35))*(1-COS(RADIANS(C35-C34)))))))*100/H35)</f>
        <v>2.5015155860471</v>
      </c>
      <c r="H35" s="24" t="n">
        <f aca="false">A35-A34</f>
        <v>30</v>
      </c>
      <c r="I35" s="24" t="n">
        <f aca="false">J35*COS(RADIANS(K35-Well_Data!$B$68))</f>
        <v>103.049587796001</v>
      </c>
      <c r="J35" s="24" t="n">
        <f aca="false">SQRT(E35^2+F35^2)</f>
        <v>103.086129379571</v>
      </c>
      <c r="K35" s="24" t="n">
        <f aca="false">IF(J35=0,0,MOD(DEGREES(ATAN2(E35,F35)),360))</f>
        <v>142.474388248346</v>
      </c>
    </row>
    <row r="36" customFormat="false" ht="15" hidden="false" customHeight="true" outlineLevel="0" collapsed="false">
      <c r="A36" s="20" t="n">
        <v>2720</v>
      </c>
      <c r="B36" s="20" t="n">
        <v>18</v>
      </c>
      <c r="C36" s="20" t="n">
        <v>142.63</v>
      </c>
      <c r="D36" s="24" t="n">
        <f aca="false">D35+(A36-A35)/2*(COS(RADIANS(B35))+COS(RADIANS(B36)))*(IF(ACOS(MIN(1,MAX(-1,COS(RADIANS(B36-B35))-SIN(RADIANS(B35))*SIN(RADIANS(B36))*(1-COS(RADIANS(C36-C35))))))=0,1,2/(ACOS(MIN(1,MAX(-1,COS(RADIANS(B36-B35))-SIN(RADIANS(B35))*SIN(RADIANS(B36))*(1-COS(RADIANS(C36-C35)))))))*TAN((ACOS(MIN(1,MAX(-1,COS(RADIANS(B36-B35))-SIN(RADIANS(B35))*SIN(RADIANS(B36))*(1-COS(RADIANS(C36-C35)))))))/2)))</f>
        <v>2708.21478703043</v>
      </c>
      <c r="E36" s="24" t="n">
        <f aca="false">E35+(A36-A35)/2*(SIN(RADIANS(B35))*COS(RADIANS(C35))+SIN(RADIANS(B36))*COS(RADIANS(C36)))*(IF(ACOS(MIN(1,MAX(-1,COS(RADIANS(B36-B35))-SIN(RADIANS(B35))*SIN(RADIANS(B36))*(1-COS(RADIANS(C36-C35))))))=0,1,2/(ACOS(MIN(1,MAX(-1,COS(RADIANS(B36-B35))-SIN(RADIANS(B35))*SIN(RADIANS(B36))*(1-COS(RADIANS(C36-C35)))))))*TAN((ACOS(MIN(1,MAX(-1,COS(RADIANS(B36-B35))-SIN(RADIANS(B35))*SIN(RADIANS(B36))*(1-COS(RADIANS(C36-C35)))))))/2)))</f>
        <v>-88.9741531445538</v>
      </c>
      <c r="F36" s="24" t="n">
        <f aca="false">F35+(A36-A35)/2*(SIN(RADIANS(B35))*SIN(RADIANS(C35))+SIN(RADIANS(B36))*SIN(RADIANS(C36)))*(IF(ACOS(MIN(1,MAX(-1,COS(RADIANS(B36-B35))-SIN(RADIANS(B35))*SIN(RADIANS(B36))*(1-COS(RADIANS(C36-C35))))))=0,1,2/(ACOS(MIN(1,MAX(-1,COS(RADIANS(B36-B35))-SIN(RADIANS(B35))*SIN(RADIANS(B36))*(1-COS(RADIANS(C36-C35)))))))*TAN((ACOS(MIN(1,MAX(-1,COS(RADIANS(B36-B35))-SIN(RADIANS(B35))*SIN(RADIANS(B36))*(1-COS(RADIANS(C36-C35)))))))/2)))</f>
        <v>68.3053525738892</v>
      </c>
      <c r="G36" s="24" t="n">
        <f aca="false">IF(H36=0,0,DEGREES(ACOS(MIN(1,MAX(-1,COS(RADIANS(B36-B35))-SIN(RADIANS(B35))*SIN(RADIANS(B36))*(1-COS(RADIANS(C36-C35)))))))*100/H36)</f>
        <v>2.50002036414079</v>
      </c>
      <c r="H36" s="24" t="n">
        <f aca="false">A36-A35</f>
        <v>30</v>
      </c>
      <c r="I36" s="24" t="n">
        <f aca="false">J36*COS(RADIANS(K36-Well_Data!$B$68))</f>
        <v>112.130480849633</v>
      </c>
      <c r="J36" s="24" t="n">
        <f aca="false">SQRT(E36^2+F36^2)</f>
        <v>112.169608709462</v>
      </c>
      <c r="K36" s="24" t="n">
        <f aca="false">IF(J36=0,0,MOD(DEGREES(ATAN2(E36,F36)),360))</f>
        <v>142.48659313343</v>
      </c>
    </row>
    <row r="37" customFormat="false" ht="15" hidden="false" customHeight="true" outlineLevel="0" collapsed="false">
      <c r="A37" s="20" t="n">
        <v>2750</v>
      </c>
      <c r="B37" s="20" t="n">
        <v>18.75</v>
      </c>
      <c r="C37" s="20" t="n">
        <v>142.85</v>
      </c>
      <c r="D37" s="24" t="n">
        <f aca="false">D36+(A37-A36)/2*(COS(RADIANS(B36))+COS(RADIANS(B37)))*(IF(ACOS(MIN(1,MAX(-1,COS(RADIANS(B37-B36))-SIN(RADIANS(B36))*SIN(RADIANS(B37))*(1-COS(RADIANS(C37-C36))))))=0,1,2/(ACOS(MIN(1,MAX(-1,COS(RADIANS(B37-B36))-SIN(RADIANS(B36))*SIN(RADIANS(B37))*(1-COS(RADIANS(C37-C36)))))))*TAN((ACOS(MIN(1,MAX(-1,COS(RADIANS(B37-B36))-SIN(RADIANS(B36))*SIN(RADIANS(B37))*(1-COS(RADIANS(C37-C36)))))))/2)))</f>
        <v>2736.68499671751</v>
      </c>
      <c r="E37" s="24" t="n">
        <f aca="false">E36+(A37-A36)/2*(SIN(RADIANS(B36))*COS(RADIANS(C36))+SIN(RADIANS(B37))*COS(RADIANS(C37)))*(IF(ACOS(MIN(1,MAX(-1,COS(RADIANS(B37-B36))-SIN(RADIANS(B36))*SIN(RADIANS(B37))*(1-COS(RADIANS(C37-C36))))))=0,1,2/(ACOS(MIN(1,MAX(-1,COS(RADIANS(B37-B36))-SIN(RADIANS(B36))*SIN(RADIANS(B37))*(1-COS(RADIANS(C37-C36)))))))*TAN((ACOS(MIN(1,MAX(-1,COS(RADIANS(B37-B36))-SIN(RADIANS(B36))*SIN(RADIANS(B37))*(1-COS(RADIANS(C37-C36)))))))/2)))</f>
        <v>-96.5011341529608</v>
      </c>
      <c r="F37" s="24" t="n">
        <f aca="false">F36+(A37-A36)/2*(SIN(RADIANS(B36))*SIN(RADIANS(C36))+SIN(RADIANS(B37))*SIN(RADIANS(C37)))*(IF(ACOS(MIN(1,MAX(-1,COS(RADIANS(B37-B36))-SIN(RADIANS(B36))*SIN(RADIANS(B37))*(1-COS(RADIANS(C37-C36))))))=0,1,2/(ACOS(MIN(1,MAX(-1,COS(RADIANS(B37-B36))-SIN(RADIANS(B36))*SIN(RADIANS(B37))*(1-COS(RADIANS(C37-C36)))))))*TAN((ACOS(MIN(1,MAX(-1,COS(RADIANS(B37-B36))-SIN(RADIANS(B36))*SIN(RADIANS(B37))*(1-COS(RADIANS(C37-C36)))))))/2)))</f>
        <v>74.0306260574404</v>
      </c>
      <c r="G37" s="24" t="n">
        <f aca="false">IF(H37=0,0,DEGREES(ACOS(MIN(1,MAX(-1,COS(RADIANS(B37-B36))-SIN(RADIANS(B36))*SIN(RADIANS(B37))*(1-COS(RADIANS(C37-C36)))))))*100/H37)</f>
        <v>2.5106610825694</v>
      </c>
      <c r="H37" s="24" t="n">
        <f aca="false">A37-A36</f>
        <v>30</v>
      </c>
      <c r="I37" s="24" t="n">
        <f aca="false">J37*COS(RADIANS(K37-Well_Data!$B$68))</f>
        <v>121.585167720744</v>
      </c>
      <c r="J37" s="24" t="n">
        <f aca="false">SQRT(E37^2+F37^2)</f>
        <v>121.626487605555</v>
      </c>
      <c r="K37" s="24" t="n">
        <f aca="false">IF(J37=0,0,MOD(DEGREES(ATAN2(E37,F37)),360))</f>
        <v>142.506465033677</v>
      </c>
    </row>
    <row r="38" customFormat="false" ht="15" hidden="false" customHeight="true" outlineLevel="0" collapsed="false">
      <c r="A38" s="20" t="n">
        <v>2780</v>
      </c>
      <c r="B38" s="20" t="n">
        <v>19.5</v>
      </c>
      <c r="C38" s="20" t="n">
        <v>142.7</v>
      </c>
      <c r="D38" s="24" t="n">
        <f aca="false">D37+(A38-A37)/2*(COS(RADIANS(B37))+COS(RADIANS(B38)))*(IF(ACOS(MIN(1,MAX(-1,COS(RADIANS(B38-B37))-SIN(RADIANS(B37))*SIN(RADIANS(B38))*(1-COS(RADIANS(C38-C37))))))=0,1,2/(ACOS(MIN(1,MAX(-1,COS(RADIANS(B38-B37))-SIN(RADIANS(B37))*SIN(RADIANS(B38))*(1-COS(RADIANS(C38-C37)))))))*TAN((ACOS(MIN(1,MAX(-1,COS(RADIANS(B38-B37))-SIN(RADIANS(B37))*SIN(RADIANS(B38))*(1-COS(RADIANS(C38-C37)))))))/2)))</f>
        <v>2765.02897748663</v>
      </c>
      <c r="E38" s="24" t="n">
        <f aca="false">E37+(A38-A37)/2*(SIN(RADIANS(B37))*COS(RADIANS(C37))+SIN(RADIANS(B38))*COS(RADIANS(C38)))*(IF(ACOS(MIN(1,MAX(-1,COS(RADIANS(B38-B37))-SIN(RADIANS(B37))*SIN(RADIANS(B38))*(1-COS(RADIANS(C38-C37))))))=0,1,2/(ACOS(MIN(1,MAX(-1,COS(RADIANS(B38-B37))-SIN(RADIANS(B37))*SIN(RADIANS(B38))*(1-COS(RADIANS(C38-C37)))))))*TAN((ACOS(MIN(1,MAX(-1,COS(RADIANS(B38-B37))-SIN(RADIANS(B37))*SIN(RADIANS(B38))*(1-COS(RADIANS(C38-C37)))))))/2)))</f>
        <v>-104.327348679266</v>
      </c>
      <c r="F38" s="24" t="n">
        <f aca="false">F37+(A38-A37)/2*(SIN(RADIANS(B37))*SIN(RADIANS(C37))+SIN(RADIANS(B38))*SIN(RADIANS(C38)))*(IF(ACOS(MIN(1,MAX(-1,COS(RADIANS(B38-B37))-SIN(RADIANS(B37))*SIN(RADIANS(B38))*(1-COS(RADIANS(C38-C37))))))=0,1,2/(ACOS(MIN(1,MAX(-1,COS(RADIANS(B38-B37))-SIN(RADIANS(B37))*SIN(RADIANS(B38))*(1-COS(RADIANS(C38-C37)))))))*TAN((ACOS(MIN(1,MAX(-1,COS(RADIANS(B38-B37))-SIN(RADIANS(B37))*SIN(RADIANS(B38))*(1-COS(RADIANS(C38-C37)))))))/2)))</f>
        <v>79.9767352237259</v>
      </c>
      <c r="G38" s="24" t="n">
        <f aca="false">IF(H38=0,0,DEGREES(ACOS(MIN(1,MAX(-1,COS(RADIANS(B38-B37))-SIN(RADIANS(B37))*SIN(RADIANS(B38))*(1-COS(RADIANS(C38-C37)))))))*100/H38)</f>
        <v>2.50535934088955</v>
      </c>
      <c r="H38" s="24" t="n">
        <f aca="false">A38-A37</f>
        <v>30</v>
      </c>
      <c r="I38" s="24" t="n">
        <f aca="false">J38*COS(RADIANS(K38-Well_Data!$B$68))</f>
        <v>131.411743550613</v>
      </c>
      <c r="J38" s="24" t="n">
        <f aca="false">SQRT(E38^2+F38^2)</f>
        <v>131.455216174525</v>
      </c>
      <c r="K38" s="24" t="n">
        <f aca="false">IF(J38=0,0,MOD(DEGREES(ATAN2(E38,F38)),360))</f>
        <v>142.526437317314</v>
      </c>
    </row>
    <row r="39" customFormat="false" ht="15" hidden="false" customHeight="true" outlineLevel="0" collapsed="false">
      <c r="A39" s="20" t="n">
        <v>2810</v>
      </c>
      <c r="B39" s="20" t="n">
        <v>20.25</v>
      </c>
      <c r="C39" s="20" t="n">
        <v>142.81</v>
      </c>
      <c r="D39" s="24" t="n">
        <f aca="false">D38+(A39-A38)/2*(COS(RADIANS(B38))+COS(RADIANS(B39)))*(IF(ACOS(MIN(1,MAX(-1,COS(RADIANS(B39-B38))-SIN(RADIANS(B38))*SIN(RADIANS(B39))*(1-COS(RADIANS(C39-C38))))))=0,1,2/(ACOS(MIN(1,MAX(-1,COS(RADIANS(B39-B38))-SIN(RADIANS(B38))*SIN(RADIANS(B39))*(1-COS(RADIANS(C39-C38)))))))*TAN((ACOS(MIN(1,MAX(-1,COS(RADIANS(B39-B38))-SIN(RADIANS(B38))*SIN(RADIANS(B39))*(1-COS(RADIANS(C39-C38)))))))/2)))</f>
        <v>2793.24187374454</v>
      </c>
      <c r="E39" s="24" t="n">
        <f aca="false">E38+(A39-A38)/2*(SIN(RADIANS(B38))*COS(RADIANS(C38))+SIN(RADIANS(B39))*COS(RADIANS(C39)))*(IF(ACOS(MIN(1,MAX(-1,COS(RADIANS(B39-B38))-SIN(RADIANS(B38))*SIN(RADIANS(B39))*(1-COS(RADIANS(C39-C38))))))=0,1,2/(ACOS(MIN(1,MAX(-1,COS(RADIANS(B39-B38))-SIN(RADIANS(B38))*SIN(RADIANS(B39))*(1-COS(RADIANS(C39-C38)))))))*TAN((ACOS(MIN(1,MAX(-1,COS(RADIANS(B39-B38))-SIN(RADIANS(B38))*SIN(RADIANS(B39))*(1-COS(RADIANS(C39-C38)))))))/2)))</f>
        <v>-112.446419113515</v>
      </c>
      <c r="F39" s="24" t="n">
        <f aca="false">F38+(A39-A38)/2*(SIN(RADIANS(B38))*SIN(RADIANS(C38))+SIN(RADIANS(B39))*SIN(RADIANS(C39)))*(IF(ACOS(MIN(1,MAX(-1,COS(RADIANS(B39-B38))-SIN(RADIANS(B38))*SIN(RADIANS(B39))*(1-COS(RADIANS(C39-C38))))))=0,1,2/(ACOS(MIN(1,MAX(-1,COS(RADIANS(B39-B38))-SIN(RADIANS(B38))*SIN(RADIANS(B39))*(1-COS(RADIANS(C39-C38)))))))*TAN((ACOS(MIN(1,MAX(-1,COS(RADIANS(B39-B38))-SIN(RADIANS(B38))*SIN(RADIANS(B39))*(1-COS(RADIANS(C39-C38)))))))/2)))</f>
        <v>86.149279035695</v>
      </c>
      <c r="G39" s="24" t="n">
        <f aca="false">IF(H39=0,0,DEGREES(ACOS(MIN(1,MAX(-1,COS(RADIANS(B39-B38))-SIN(RADIANS(B38))*SIN(RADIANS(B39))*(1-COS(RADIANS(C39-C38)))))))*100/H39)</f>
        <v>2.5031048012472</v>
      </c>
      <c r="H39" s="24" t="n">
        <f aca="false">A39-A38</f>
        <v>30</v>
      </c>
      <c r="I39" s="24" t="n">
        <f aca="false">J39*COS(RADIANS(K39-Well_Data!$B$68))</f>
        <v>141.608339732252</v>
      </c>
      <c r="J39" s="24" t="n">
        <f aca="false">SQRT(E39^2+F39^2)</f>
        <v>141.654140249491</v>
      </c>
      <c r="K39" s="24" t="n">
        <f aca="false">IF(J39=0,0,MOD(DEGREES(ATAN2(E39,F39)),360))</f>
        <v>142.542965324413</v>
      </c>
    </row>
    <row r="40" customFormat="false" ht="15" hidden="false" customHeight="true" outlineLevel="0" collapsed="false">
      <c r="A40" s="20" t="n">
        <v>2840</v>
      </c>
      <c r="B40" s="20" t="n">
        <v>21</v>
      </c>
      <c r="C40" s="20" t="n">
        <v>142.9</v>
      </c>
      <c r="D40" s="24" t="n">
        <f aca="false">D39+(A40-A39)/2*(COS(RADIANS(B39))+COS(RADIANS(B40)))*(IF(ACOS(MIN(1,MAX(-1,COS(RADIANS(B40-B39))-SIN(RADIANS(B39))*SIN(RADIANS(B40))*(1-COS(RADIANS(C40-C39))))))=0,1,2/(ACOS(MIN(1,MAX(-1,COS(RADIANS(B40-B39))-SIN(RADIANS(B39))*SIN(RADIANS(B40))*(1-COS(RADIANS(C40-C39)))))))*TAN((ACOS(MIN(1,MAX(-1,COS(RADIANS(B40-B39))-SIN(RADIANS(B39))*SIN(RADIANS(B40))*(1-COS(RADIANS(C40-C39)))))))/2)))</f>
        <v>2821.31885180761</v>
      </c>
      <c r="E40" s="24" t="n">
        <f aca="false">E39+(A40-A39)/2*(SIN(RADIANS(B39))*COS(RADIANS(C39))+SIN(RADIANS(B40))*COS(RADIANS(C40)))*(IF(ACOS(MIN(1,MAX(-1,COS(RADIANS(B40-B39))-SIN(RADIANS(B39))*SIN(RADIANS(B40))*(1-COS(RADIANS(C40-C39))))))=0,1,2/(ACOS(MIN(1,MAX(-1,COS(RADIANS(B40-B39))-SIN(RADIANS(B39))*SIN(RADIANS(B40))*(1-COS(RADIANS(C40-C39)))))))*TAN((ACOS(MIN(1,MAX(-1,COS(RADIANS(B40-B39))-SIN(RADIANS(B39))*SIN(RADIANS(B40))*(1-COS(RADIANS(C40-C39)))))))/2)))</f>
        <v>-120.86990401493</v>
      </c>
      <c r="F40" s="24" t="n">
        <f aca="false">F39+(A40-A39)/2*(SIN(RADIANS(B39))*SIN(RADIANS(C39))+SIN(RADIANS(B40))*SIN(RADIANS(C40)))*(IF(ACOS(MIN(1,MAX(-1,COS(RADIANS(B40-B39))-SIN(RADIANS(B39))*SIN(RADIANS(B40))*(1-COS(RADIANS(C40-C39))))))=0,1,2/(ACOS(MIN(1,MAX(-1,COS(RADIANS(B40-B39))-SIN(RADIANS(B39))*SIN(RADIANS(B40))*(1-COS(RADIANS(C40-C39)))))))*TAN((ACOS(MIN(1,MAX(-1,COS(RADIANS(B40-B39))-SIN(RADIANS(B39))*SIN(RADIANS(B40))*(1-COS(RADIANS(C40-C39)))))))/2)))</f>
        <v>92.5301356422385</v>
      </c>
      <c r="G40" s="24" t="n">
        <f aca="false">IF(H40=0,0,DEGREES(ACOS(MIN(1,MAX(-1,COS(RADIANS(B40-B39))-SIN(RADIANS(B39))*SIN(RADIANS(B40))*(1-COS(RADIANS(C40-C39)))))))*100/H40)</f>
        <v>2.50223173791</v>
      </c>
      <c r="H40" s="24" t="n">
        <f aca="false">A40-A39</f>
        <v>30</v>
      </c>
      <c r="I40" s="24" t="n">
        <f aca="false">J40*COS(RADIANS(K40-Well_Data!$B$68))</f>
        <v>152.173655579677</v>
      </c>
      <c r="J40" s="24" t="n">
        <f aca="false">SQRT(E40^2+F40^2)</f>
        <v>152.221416688157</v>
      </c>
      <c r="K40" s="24" t="n">
        <f aca="false">IF(J40=0,0,MOD(DEGREES(ATAN2(E40,F40)),360))</f>
        <v>142.564681424596</v>
      </c>
    </row>
    <row r="41" customFormat="false" ht="15" hidden="false" customHeight="true" outlineLevel="0" collapsed="false">
      <c r="A41" s="20" t="n">
        <v>2870</v>
      </c>
      <c r="B41" s="20" t="n">
        <v>21.75</v>
      </c>
      <c r="C41" s="20" t="n">
        <v>142.84</v>
      </c>
      <c r="D41" s="24" t="n">
        <f aca="false">D40+(A41-A40)/2*(COS(RADIANS(B40))+COS(RADIANS(B41)))*(IF(ACOS(MIN(1,MAX(-1,COS(RADIANS(B41-B40))-SIN(RADIANS(B40))*SIN(RADIANS(B41))*(1-COS(RADIANS(C41-C40))))))=0,1,2/(ACOS(MIN(1,MAX(-1,COS(RADIANS(B41-B40))-SIN(RADIANS(B40))*SIN(RADIANS(B41))*(1-COS(RADIANS(C41-C40)))))))*TAN((ACOS(MIN(1,MAX(-1,COS(RADIANS(B41-B40))-SIN(RADIANS(B40))*SIN(RADIANS(B41))*(1-COS(RADIANS(C41-C40)))))))/2)))</f>
        <v>2849.25510073839</v>
      </c>
      <c r="E41" s="24" t="n">
        <f aca="false">E40+(A41-A40)/2*(SIN(RADIANS(B40))*COS(RADIANS(C40))+SIN(RADIANS(B41))*COS(RADIANS(C41)))*(IF(ACOS(MIN(1,MAX(-1,COS(RADIANS(B41-B40))-SIN(RADIANS(B40))*SIN(RADIANS(B41))*(1-COS(RADIANS(C41-C40))))))=0,1,2/(ACOS(MIN(1,MAX(-1,COS(RADIANS(B41-B40))-SIN(RADIANS(B40))*SIN(RADIANS(B41))*(1-COS(RADIANS(C41-C40)))))))*TAN((ACOS(MIN(1,MAX(-1,COS(RADIANS(B41-B40))-SIN(RADIANS(B40))*SIN(RADIANS(B41))*(1-COS(RADIANS(C41-C40)))))))/2)))</f>
        <v>-129.587202680817</v>
      </c>
      <c r="F41" s="24" t="n">
        <f aca="false">F40+(A41-A40)/2*(SIN(RADIANS(B40))*SIN(RADIANS(C40))+SIN(RADIANS(B41))*SIN(RADIANS(C41)))*(IF(ACOS(MIN(1,MAX(-1,COS(RADIANS(B41-B40))-SIN(RADIANS(B40))*SIN(RADIANS(B41))*(1-COS(RADIANS(C41-C40))))))=0,1,2/(ACOS(MIN(1,MAX(-1,COS(RADIANS(B41-B40))-SIN(RADIANS(B40))*SIN(RADIANS(B41))*(1-COS(RADIANS(C41-C40)))))))*TAN((ACOS(MIN(1,MAX(-1,COS(RADIANS(B41-B40))-SIN(RADIANS(B40))*SIN(RADIANS(B41))*(1-COS(RADIANS(C41-C40)))))))/2)))</f>
        <v>99.1302748643476</v>
      </c>
      <c r="G41" s="24" t="n">
        <f aca="false">IF(H41=0,0,DEGREES(ACOS(MIN(1,MAX(-1,COS(RADIANS(B41-B40))-SIN(RADIANS(B40))*SIN(RADIANS(B41))*(1-COS(RADIANS(C41-C40)))))))*100/H41)</f>
        <v>2.50106217188603</v>
      </c>
      <c r="H41" s="24" t="n">
        <f aca="false">A41-A40</f>
        <v>30</v>
      </c>
      <c r="I41" s="24" t="n">
        <f aca="false">J41*COS(RADIANS(K41-Well_Data!$B$68))</f>
        <v>163.105562843255</v>
      </c>
      <c r="J41" s="24" t="n">
        <f aca="false">SQRT(E41^2+F41^2)</f>
        <v>163.15530789196</v>
      </c>
      <c r="K41" s="24" t="n">
        <f aca="false">IF(J41=0,0,MOD(DEGREES(ATAN2(E41,F41)),360))</f>
        <v>142.585108974315</v>
      </c>
    </row>
    <row r="42" customFormat="false" ht="15" hidden="false" customHeight="true" outlineLevel="0" collapsed="false">
      <c r="A42" s="20" t="n">
        <v>2900</v>
      </c>
      <c r="B42" s="20" t="n">
        <v>22.5</v>
      </c>
      <c r="C42" s="20" t="n">
        <v>142.99</v>
      </c>
      <c r="D42" s="24" t="n">
        <f aca="false">D41+(A42-A41)/2*(COS(RADIANS(B41))+COS(RADIANS(B42)))*(IF(ACOS(MIN(1,MAX(-1,COS(RADIANS(B42-B41))-SIN(RADIANS(B41))*SIN(RADIANS(B42))*(1-COS(RADIANS(C42-C41))))))=0,1,2/(ACOS(MIN(1,MAX(-1,COS(RADIANS(B42-B41))-SIN(RADIANS(B41))*SIN(RADIANS(B42))*(1-COS(RADIANS(C42-C41)))))))*TAN((ACOS(MIN(1,MAX(-1,COS(RADIANS(B42-B41))-SIN(RADIANS(B41))*SIN(RADIANS(B42))*(1-COS(RADIANS(C42-C41)))))))/2)))</f>
        <v>2877.0458360935</v>
      </c>
      <c r="E42" s="24" t="n">
        <f aca="false">E41+(A42-A41)/2*(SIN(RADIANS(B41))*COS(RADIANS(C41))+SIN(RADIANS(B42))*COS(RADIANS(C42)))*(IF(ACOS(MIN(1,MAX(-1,COS(RADIANS(B42-B41))-SIN(RADIANS(B41))*SIN(RADIANS(B42))*(1-COS(RADIANS(C42-C41))))))=0,1,2/(ACOS(MIN(1,MAX(-1,COS(RADIANS(B42-B41))-SIN(RADIANS(B41))*SIN(RADIANS(B42))*(1-COS(RADIANS(C42-C41)))))))*TAN((ACOS(MIN(1,MAX(-1,COS(RADIANS(B42-B41))-SIN(RADIANS(B41))*SIN(RADIANS(B42))*(1-COS(RADIANS(C42-C41)))))))/2)))</f>
        <v>-138.600844111955</v>
      </c>
      <c r="F42" s="24" t="n">
        <f aca="false">F41+(A42-A41)/2*(SIN(RADIANS(B41))*SIN(RADIANS(C41))+SIN(RADIANS(B42))*SIN(RADIANS(C42)))*(IF(ACOS(MIN(1,MAX(-1,COS(RADIANS(B42-B41))-SIN(RADIANS(B41))*SIN(RADIANS(B42))*(1-COS(RADIANS(C42-C41))))))=0,1,2/(ACOS(MIN(1,MAX(-1,COS(RADIANS(B42-B41))-SIN(RADIANS(B41))*SIN(RADIANS(B42))*(1-COS(RADIANS(C42-C41)))))))*TAN((ACOS(MIN(1,MAX(-1,COS(RADIANS(B42-B41))-SIN(RADIANS(B41))*SIN(RADIANS(B42))*(1-COS(RADIANS(C42-C41)))))))/2)))</f>
        <v>105.943231102514</v>
      </c>
      <c r="G42" s="24" t="n">
        <f aca="false">IF(H42=0,0,DEGREES(ACOS(MIN(1,MAX(-1,COS(RADIANS(B42-B41))-SIN(RADIANS(B41))*SIN(RADIANS(B42))*(1-COS(RADIANS(C42-C41)))))))*100/H42)</f>
        <v>2.50708048197247</v>
      </c>
      <c r="H42" s="24" t="n">
        <f aca="false">A42-A41</f>
        <v>30</v>
      </c>
      <c r="I42" s="24" t="n">
        <f aca="false">J42*COS(RADIANS(K42-Well_Data!$B$68))</f>
        <v>174.402307143555</v>
      </c>
      <c r="J42" s="24" t="n">
        <f aca="false">SQRT(E42^2+F42^2)</f>
        <v>174.453897075953</v>
      </c>
      <c r="K42" s="24" t="n">
        <f aca="false">IF(J42=0,0,MOD(DEGREES(ATAN2(E42,F42)),360))</f>
        <v>142.606552935411</v>
      </c>
    </row>
    <row r="43" customFormat="false" ht="15" hidden="false" customHeight="true" outlineLevel="0" collapsed="false">
      <c r="A43" s="20" t="n">
        <v>2930</v>
      </c>
      <c r="B43" s="20" t="n">
        <v>23.25</v>
      </c>
      <c r="C43" s="20" t="n">
        <v>143.01</v>
      </c>
      <c r="D43" s="24" t="n">
        <f aca="false">D42+(A43-A42)/2*(COS(RADIANS(B42))+COS(RADIANS(B43)))*(IF(ACOS(MIN(1,MAX(-1,COS(RADIANS(B43-B42))-SIN(RADIANS(B42))*SIN(RADIANS(B43))*(1-COS(RADIANS(C43-C42))))))=0,1,2/(ACOS(MIN(1,MAX(-1,COS(RADIANS(B43-B42))-SIN(RADIANS(B42))*SIN(RADIANS(B43))*(1-COS(RADIANS(C43-C42)))))))*TAN((ACOS(MIN(1,MAX(-1,COS(RADIANS(B43-B42))-SIN(RADIANS(B42))*SIN(RADIANS(B43))*(1-COS(RADIANS(C43-C42)))))))/2)))</f>
        <v>2904.68629195339</v>
      </c>
      <c r="E43" s="24" t="n">
        <f aca="false">E42+(A43-A42)/2*(SIN(RADIANS(B42))*COS(RADIANS(C42))+SIN(RADIANS(B43))*COS(RADIANS(C43)))*(IF(ACOS(MIN(1,MAX(-1,COS(RADIANS(B43-B42))-SIN(RADIANS(B42))*SIN(RADIANS(B43))*(1-COS(RADIANS(C43-C42))))))=0,1,2/(ACOS(MIN(1,MAX(-1,COS(RADIANS(B43-B42))-SIN(RADIANS(B42))*SIN(RADIANS(B43))*(1-COS(RADIANS(C43-C42)))))))*TAN((ACOS(MIN(1,MAX(-1,COS(RADIANS(B43-B42))-SIN(RADIANS(B42))*SIN(RADIANS(B43))*(1-COS(RADIANS(C43-C42)))))))/2)))</f>
        <v>-147.914211560705</v>
      </c>
      <c r="F43" s="24" t="n">
        <f aca="false">F42+(A43-A42)/2*(SIN(RADIANS(B42))*SIN(RADIANS(C42))+SIN(RADIANS(B43))*SIN(RADIANS(C43)))*(IF(ACOS(MIN(1,MAX(-1,COS(RADIANS(B43-B42))-SIN(RADIANS(B42))*SIN(RADIANS(B43))*(1-COS(RADIANS(C43-C42))))))=0,1,2/(ACOS(MIN(1,MAX(-1,COS(RADIANS(B43-B42))-SIN(RADIANS(B42))*SIN(RADIANS(B43))*(1-COS(RADIANS(C43-C42)))))))*TAN((ACOS(MIN(1,MAX(-1,COS(RADIANS(B43-B42))-SIN(RADIANS(B42))*SIN(RADIANS(B43))*(1-COS(RADIANS(C43-C42)))))))/2)))</f>
        <v>112.961317327973</v>
      </c>
      <c r="G43" s="24" t="n">
        <f aca="false">IF(H43=0,0,DEGREES(ACOS(MIN(1,MAX(-1,COS(RADIANS(B43-B42))-SIN(RADIANS(B42))*SIN(RADIANS(B43))*(1-COS(RADIANS(C43-C42)))))))*100/H43)</f>
        <v>2.50013427750216</v>
      </c>
      <c r="H43" s="24" t="n">
        <f aca="false">A43-A42</f>
        <v>30</v>
      </c>
      <c r="I43" s="24" t="n">
        <f aca="false">J43*COS(RADIANS(K43-Well_Data!$B$68))</f>
        <v>186.062107267094</v>
      </c>
      <c r="J43" s="24" t="n">
        <f aca="false">SQRT(E43^2+F43^2)</f>
        <v>186.115214837734</v>
      </c>
      <c r="K43" s="24" t="n">
        <f aca="false">IF(J43=0,0,MOD(DEGREES(ATAN2(E43,F43)),360))</f>
        <v>142.631215002161</v>
      </c>
    </row>
    <row r="44" customFormat="false" ht="15" hidden="false" customHeight="true" outlineLevel="0" collapsed="false">
      <c r="A44" s="20" t="n">
        <v>2960</v>
      </c>
      <c r="B44" s="20" t="n">
        <v>24</v>
      </c>
      <c r="C44" s="20" t="n">
        <v>142.98</v>
      </c>
      <c r="D44" s="24" t="n">
        <f aca="false">D43+(A44-A43)/2*(COS(RADIANS(B43))+COS(RADIANS(B44)))*(IF(ACOS(MIN(1,MAX(-1,COS(RADIANS(B44-B43))-SIN(RADIANS(B43))*SIN(RADIANS(B44))*(1-COS(RADIANS(C44-C43))))))=0,1,2/(ACOS(MIN(1,MAX(-1,COS(RADIANS(B44-B43))-SIN(RADIANS(B43))*SIN(RADIANS(B44))*(1-COS(RADIANS(C44-C43)))))))*TAN((ACOS(MIN(1,MAX(-1,COS(RADIANS(B44-B43))-SIN(RADIANS(B43))*SIN(RADIANS(B44))*(1-COS(RADIANS(C44-C43)))))))/2)))</f>
        <v>2932.17173453523</v>
      </c>
      <c r="E44" s="24" t="n">
        <f aca="false">E43+(A44-A43)/2*(SIN(RADIANS(B43))*COS(RADIANS(C43))+SIN(RADIANS(B44))*COS(RADIANS(C44)))*(IF(ACOS(MIN(1,MAX(-1,COS(RADIANS(B44-B43))-SIN(RADIANS(B43))*SIN(RADIANS(B44))*(1-COS(RADIANS(C44-C43))))))=0,1,2/(ACOS(MIN(1,MAX(-1,COS(RADIANS(B44-B43))-SIN(RADIANS(B43))*SIN(RADIANS(B44))*(1-COS(RADIANS(C44-C43)))))))*TAN((ACOS(MIN(1,MAX(-1,COS(RADIANS(B44-B43))-SIN(RADIANS(B43))*SIN(RADIANS(B44))*(1-COS(RADIANS(C44-C43)))))))/2)))</f>
        <v>-157.515050401133</v>
      </c>
      <c r="F44" s="24" t="n">
        <f aca="false">F43+(A44-A43)/2*(SIN(RADIANS(B43))*SIN(RADIANS(C43))+SIN(RADIANS(B44))*SIN(RADIANS(C44)))*(IF(ACOS(MIN(1,MAX(-1,COS(RADIANS(B44-B43))-SIN(RADIANS(B43))*SIN(RADIANS(B44))*(1-COS(RADIANS(C44-C43))))))=0,1,2/(ACOS(MIN(1,MAX(-1,COS(RADIANS(B44-B43))-SIN(RADIANS(B43))*SIN(RADIANS(B44))*(1-COS(RADIANS(C44-C43)))))))*TAN((ACOS(MIN(1,MAX(-1,COS(RADIANS(B44-B43))-SIN(RADIANS(B43))*SIN(RADIANS(B44))*(1-COS(RADIANS(C44-C43)))))))/2)))</f>
        <v>120.197440970149</v>
      </c>
      <c r="G44" s="24" t="n">
        <f aca="false">IF(H44=0,0,DEGREES(ACOS(MIN(1,MAX(-1,COS(RADIANS(B44-B43))-SIN(RADIANS(B43))*SIN(RADIANS(B44))*(1-COS(RADIANS(C44-C43)))))))*100/H44)</f>
        <v>2.50032110212606</v>
      </c>
      <c r="H44" s="24" t="n">
        <f aca="false">A44-A43</f>
        <v>30</v>
      </c>
      <c r="I44" s="24" t="n">
        <f aca="false">J44*COS(RADIANS(K44-Well_Data!$B$68))</f>
        <v>198.082635809891</v>
      </c>
      <c r="J44" s="24" t="n">
        <f aca="false">SQRT(E44^2+F44^2)</f>
        <v>198.137366285726</v>
      </c>
      <c r="K44" s="24" t="n">
        <f aca="false">IF(J44=0,0,MOD(DEGREES(ATAN2(E44,F44)),360))</f>
        <v>142.653274614068</v>
      </c>
    </row>
    <row r="45" customFormat="false" ht="15" hidden="false" customHeight="true" outlineLevel="0" collapsed="false">
      <c r="A45" s="20" t="n">
        <v>2990</v>
      </c>
      <c r="B45" s="20" t="n">
        <v>24.75</v>
      </c>
      <c r="C45" s="20" t="n">
        <v>142.92</v>
      </c>
      <c r="D45" s="24" t="n">
        <f aca="false">D44+(A45-A44)/2*(COS(RADIANS(B44))+COS(RADIANS(B45)))*(IF(ACOS(MIN(1,MAX(-1,COS(RADIANS(B45-B44))-SIN(RADIANS(B44))*SIN(RADIANS(B45))*(1-COS(RADIANS(C45-C44))))))=0,1,2/(ACOS(MIN(1,MAX(-1,COS(RADIANS(B45-B44))-SIN(RADIANS(B44))*SIN(RADIANS(B45))*(1-COS(RADIANS(C45-C44)))))))*TAN((ACOS(MIN(1,MAX(-1,COS(RADIANS(B45-B44))-SIN(RADIANS(B44))*SIN(RADIANS(B45))*(1-COS(RADIANS(C45-C44)))))))/2)))</f>
        <v>2959.49745461596</v>
      </c>
      <c r="E45" s="24" t="n">
        <f aca="false">E44+(A45-A44)/2*(SIN(RADIANS(B44))*COS(RADIANS(C44))+SIN(RADIANS(B45))*COS(RADIANS(C45)))*(IF(ACOS(MIN(1,MAX(-1,COS(RADIANS(B45-B44))-SIN(RADIANS(B44))*SIN(RADIANS(B45))*(1-COS(RADIANS(C45-C44))))))=0,1,2/(ACOS(MIN(1,MAX(-1,COS(RADIANS(B45-B44))-SIN(RADIANS(B44))*SIN(RADIANS(B45))*(1-COS(RADIANS(C45-C44)))))))*TAN((ACOS(MIN(1,MAX(-1,COS(RADIANS(B45-B44))-SIN(RADIANS(B44))*SIN(RADIANS(B45))*(1-COS(RADIANS(C45-C44)))))))/2)))</f>
        <v>-167.396490744705</v>
      </c>
      <c r="F45" s="24" t="n">
        <f aca="false">F44+(A45-A44)/2*(SIN(RADIANS(B44))*SIN(RADIANS(C44))+SIN(RADIANS(B45))*SIN(RADIANS(C45)))*(IF(ACOS(MIN(1,MAX(-1,COS(RADIANS(B45-B44))-SIN(RADIANS(B44))*SIN(RADIANS(B45))*(1-COS(RADIANS(C45-C44))))))=0,1,2/(ACOS(MIN(1,MAX(-1,COS(RADIANS(B45-B44))-SIN(RADIANS(B44))*SIN(RADIANS(B45))*(1-COS(RADIANS(C45-C44)))))))*TAN((ACOS(MIN(1,MAX(-1,COS(RADIANS(B45-B44))-SIN(RADIANS(B44))*SIN(RADIANS(B45))*(1-COS(RADIANS(C45-C44)))))))/2)))</f>
        <v>127.657286399267</v>
      </c>
      <c r="G45" s="24" t="n">
        <f aca="false">IF(H45=0,0,DEGREES(ACOS(MIN(1,MAX(-1,COS(RADIANS(B45-B44))-SIN(RADIANS(B44))*SIN(RADIANS(B45))*(1-COS(RADIANS(C45-C44)))))))*100/H45)</f>
        <v>2.50136194187396</v>
      </c>
      <c r="H45" s="24" t="n">
        <f aca="false">A45-A44</f>
        <v>30</v>
      </c>
      <c r="I45" s="24" t="n">
        <f aca="false">J45*COS(RADIANS(K45-Well_Data!$B$68))</f>
        <v>210.461676104361</v>
      </c>
      <c r="J45" s="24" t="n">
        <f aca="false">SQRT(E45^2+F45^2)</f>
        <v>210.51833146894</v>
      </c>
      <c r="K45" s="24" t="n">
        <f aca="false">IF(J45=0,0,MOD(DEGREES(ATAN2(E45,F45)),360))</f>
        <v>142.670700227872</v>
      </c>
    </row>
    <row r="46" customFormat="false" ht="15" hidden="false" customHeight="true" outlineLevel="0" collapsed="false">
      <c r="A46" s="20" t="n">
        <v>3020</v>
      </c>
      <c r="B46" s="20" t="n">
        <v>25.5</v>
      </c>
      <c r="C46" s="20" t="n">
        <v>143.1</v>
      </c>
      <c r="D46" s="24" t="n">
        <f aca="false">D45+(A46-A45)/2*(COS(RADIANS(B45))+COS(RADIANS(B46)))*(IF(ACOS(MIN(1,MAX(-1,COS(RADIANS(B46-B45))-SIN(RADIANS(B45))*SIN(RADIANS(B46))*(1-COS(RADIANS(C46-C45))))))=0,1,2/(ACOS(MIN(1,MAX(-1,COS(RADIANS(B46-B45))-SIN(RADIANS(B45))*SIN(RADIANS(B46))*(1-COS(RADIANS(C46-C45)))))))*TAN((ACOS(MIN(1,MAX(-1,COS(RADIANS(B46-B45))-SIN(RADIANS(B45))*SIN(RADIANS(B46))*(1-COS(RADIANS(C46-C45)))))))/2)))</f>
        <v>2986.65877335109</v>
      </c>
      <c r="E46" s="24" t="n">
        <f aca="false">E45+(A46-A45)/2*(SIN(RADIANS(B45))*COS(RADIANS(C45))+SIN(RADIANS(B46))*COS(RADIANS(C46)))*(IF(ACOS(MIN(1,MAX(-1,COS(RADIANS(B46-B45))-SIN(RADIANS(B45))*SIN(RADIANS(B46))*(1-COS(RADIANS(C46-C45))))))=0,1,2/(ACOS(MIN(1,MAX(-1,COS(RADIANS(B46-B45))-SIN(RADIANS(B45))*SIN(RADIANS(B46))*(1-COS(RADIANS(C46-C45)))))))*TAN((ACOS(MIN(1,MAX(-1,COS(RADIANS(B46-B45))-SIN(RADIANS(B45))*SIN(RADIANS(B46))*(1-COS(RADIANS(C46-C45)))))))/2)))</f>
        <v>-177.570800483161</v>
      </c>
      <c r="F46" s="24" t="n">
        <f aca="false">F45+(A46-A45)/2*(SIN(RADIANS(B45))*SIN(RADIANS(C45))+SIN(RADIANS(B46))*SIN(RADIANS(C46)))*(IF(ACOS(MIN(1,MAX(-1,COS(RADIANS(B46-B45))-SIN(RADIANS(B45))*SIN(RADIANS(B46))*(1-COS(RADIANS(C46-C45))))))=0,1,2/(ACOS(MIN(1,MAX(-1,COS(RADIANS(B46-B45))-SIN(RADIANS(B45))*SIN(RADIANS(B46))*(1-COS(RADIANS(C46-C45)))))))*TAN((ACOS(MIN(1,MAX(-1,COS(RADIANS(B46-B45))-SIN(RADIANS(B45))*SIN(RADIANS(B46))*(1-COS(RADIANS(C46-C45)))))))/2)))</f>
        <v>135.321045367476</v>
      </c>
      <c r="G46" s="24" t="n">
        <f aca="false">IF(H46=0,0,DEGREES(ACOS(MIN(1,MAX(-1,COS(RADIANS(B46-B45))-SIN(RADIANS(B45))*SIN(RADIANS(B46))*(1-COS(RADIANS(C46-C45)))))))*100/H46)</f>
        <v>2.51294396433593</v>
      </c>
      <c r="H46" s="24" t="n">
        <f aca="false">A46-A45</f>
        <v>30</v>
      </c>
      <c r="I46" s="24" t="n">
        <f aca="false">J46*COS(RADIANS(K46-Well_Data!$B$68))</f>
        <v>223.197510087444</v>
      </c>
      <c r="J46" s="24" t="n">
        <f aca="false">SQRT(E46^2+F46^2)</f>
        <v>223.255849875378</v>
      </c>
      <c r="K46" s="24" t="n">
        <f aca="false">IF(J46=0,0,MOD(DEGREES(ATAN2(E46,F46)),360))</f>
        <v>142.690130326495</v>
      </c>
    </row>
    <row r="47" customFormat="false" ht="15" hidden="false" customHeight="true" outlineLevel="0" collapsed="false">
      <c r="A47" s="20" t="n">
        <v>3050</v>
      </c>
      <c r="B47" s="20" t="n">
        <v>26.25</v>
      </c>
      <c r="C47" s="20" t="n">
        <v>143.17</v>
      </c>
      <c r="D47" s="24" t="n">
        <f aca="false">D46+(A47-A46)/2*(COS(RADIANS(B46))+COS(RADIANS(B47)))*(IF(ACOS(MIN(1,MAX(-1,COS(RADIANS(B47-B46))-SIN(RADIANS(B46))*SIN(RADIANS(B47))*(1-COS(RADIANS(C47-C46))))))=0,1,2/(ACOS(MIN(1,MAX(-1,COS(RADIANS(B47-B46))-SIN(RADIANS(B46))*SIN(RADIANS(B47))*(1-COS(RADIANS(C47-C46)))))))*TAN((ACOS(MIN(1,MAX(-1,COS(RADIANS(B47-B46))-SIN(RADIANS(B46))*SIN(RADIANS(B47))*(1-COS(RADIANS(C47-C46)))))))/2)))</f>
        <v>3013.6510298006</v>
      </c>
      <c r="E47" s="24" t="n">
        <f aca="false">E46+(A47-A46)/2*(SIN(RADIANS(B46))*COS(RADIANS(C46))+SIN(RADIANS(B47))*COS(RADIANS(C47)))*(IF(ACOS(MIN(1,MAX(-1,COS(RADIANS(B47-B46))-SIN(RADIANS(B46))*SIN(RADIANS(B47))*(1-COS(RADIANS(C47-C46))))))=0,1,2/(ACOS(MIN(1,MAX(-1,COS(RADIANS(B47-B46))-SIN(RADIANS(B46))*SIN(RADIANS(B47))*(1-COS(RADIANS(C47-C46)))))))*TAN((ACOS(MIN(1,MAX(-1,COS(RADIANS(B47-B46))-SIN(RADIANS(B46))*SIN(RADIANS(B47))*(1-COS(RADIANS(C47-C46)))))))/2)))</f>
        <v>-188.045281953986</v>
      </c>
      <c r="F47" s="24" t="n">
        <f aca="false">F46+(A47-A46)/2*(SIN(RADIANS(B46))*SIN(RADIANS(C46))+SIN(RADIANS(B47))*SIN(RADIANS(C47)))*(IF(ACOS(MIN(1,MAX(-1,COS(RADIANS(B47-B46))-SIN(RADIANS(B46))*SIN(RADIANS(B47))*(1-COS(RADIANS(C47-C46))))))=0,1,2/(ACOS(MIN(1,MAX(-1,COS(RADIANS(B47-B46))-SIN(RADIANS(B46))*SIN(RADIANS(B47))*(1-COS(RADIANS(C47-C46)))))))*TAN((ACOS(MIN(1,MAX(-1,COS(RADIANS(B47-B46))-SIN(RADIANS(B46))*SIN(RADIANS(B47))*(1-COS(RADIANS(C47-C46)))))))/2)))</f>
        <v>143.175372671029</v>
      </c>
      <c r="G47" s="24" t="n">
        <f aca="false">IF(H47=0,0,DEGREES(ACOS(MIN(1,MAX(-1,COS(RADIANS(B47-B46))-SIN(RADIANS(B46))*SIN(RADIANS(B47))*(1-COS(RADIANS(C47-C46)))))))*100/H47)</f>
        <v>2.50207255529901</v>
      </c>
      <c r="H47" s="24" t="n">
        <f aca="false">A47-A46</f>
        <v>30</v>
      </c>
      <c r="I47" s="24" t="n">
        <f aca="false">J47*COS(RADIANS(K47-Well_Data!$B$68))</f>
        <v>236.288201360313</v>
      </c>
      <c r="J47" s="24" t="n">
        <f aca="false">SQRT(E47^2+F47^2)</f>
        <v>236.347657920789</v>
      </c>
      <c r="K47" s="24" t="n">
        <f aca="false">IF(J47=0,0,MOD(DEGREES(ATAN2(E47,F47)),360))</f>
        <v>142.714799237579</v>
      </c>
    </row>
    <row r="48" customFormat="false" ht="15" hidden="false" customHeight="true" outlineLevel="0" collapsed="false">
      <c r="A48" s="20" t="n">
        <v>3080</v>
      </c>
      <c r="B48" s="20" t="n">
        <v>27</v>
      </c>
      <c r="C48" s="20" t="n">
        <v>143.15</v>
      </c>
      <c r="D48" s="24" t="n">
        <f aca="false">D47+(A48-A47)/2*(COS(RADIANS(B47))+COS(RADIANS(B48)))*(IF(ACOS(MIN(1,MAX(-1,COS(RADIANS(B48-B47))-SIN(RADIANS(B47))*SIN(RADIANS(B48))*(1-COS(RADIANS(C48-C47))))))=0,1,2/(ACOS(MIN(1,MAX(-1,COS(RADIANS(B48-B47))-SIN(RADIANS(B47))*SIN(RADIANS(B48))*(1-COS(RADIANS(C48-C47)))))))*TAN((ACOS(MIN(1,MAX(-1,COS(RADIANS(B48-B47))-SIN(RADIANS(B47))*SIN(RADIANS(B48))*(1-COS(RADIANS(C48-C47)))))))/2)))</f>
        <v>3040.46960178301</v>
      </c>
      <c r="E48" s="24" t="n">
        <f aca="false">E47+(A48-A47)/2*(SIN(RADIANS(B47))*COS(RADIANS(C47))+SIN(RADIANS(B48))*COS(RADIANS(C48)))*(IF(ACOS(MIN(1,MAX(-1,COS(RADIANS(B48-B47))-SIN(RADIANS(B47))*SIN(RADIANS(B48))*(1-COS(RADIANS(C48-C47))))))=0,1,2/(ACOS(MIN(1,MAX(-1,COS(RADIANS(B48-B47))-SIN(RADIANS(B47))*SIN(RADIANS(B48))*(1-COS(RADIANS(C48-C47)))))))*TAN((ACOS(MIN(1,MAX(-1,COS(RADIANS(B48-B47))-SIN(RADIANS(B47))*SIN(RADIANS(B48))*(1-COS(RADIANS(C48-C47)))))))/2)))</f>
        <v>-198.804975102204</v>
      </c>
      <c r="F48" s="24" t="n">
        <f aca="false">F47+(A48-A47)/2*(SIN(RADIANS(B47))*SIN(RADIANS(C47))+SIN(RADIANS(B48))*SIN(RADIANS(C48)))*(IF(ACOS(MIN(1,MAX(-1,COS(RADIANS(B48-B47))-SIN(RADIANS(B47))*SIN(RADIANS(B48))*(1-COS(RADIANS(C48-C47))))))=0,1,2/(ACOS(MIN(1,MAX(-1,COS(RADIANS(B48-B47))-SIN(RADIANS(B47))*SIN(RADIANS(B48))*(1-COS(RADIANS(C48-C47)))))))*TAN((ACOS(MIN(1,MAX(-1,COS(RADIANS(B48-B47))-SIN(RADIANS(B47))*SIN(RADIANS(B48))*(1-COS(RADIANS(C48-C47)))))))/2)))</f>
        <v>151.2364115229</v>
      </c>
      <c r="G48" s="24" t="n">
        <f aca="false">IF(H48=0,0,DEGREES(ACOS(MIN(1,MAX(-1,COS(RADIANS(B48-B47))-SIN(RADIANS(B47))*SIN(RADIANS(B48))*(1-COS(RADIANS(C48-C47)))))))*100/H48)</f>
        <v>2.50017848304804</v>
      </c>
      <c r="H48" s="24" t="n">
        <f aca="false">A48-A47</f>
        <v>30</v>
      </c>
      <c r="I48" s="24" t="n">
        <f aca="false">J48*COS(RADIANS(K48-Well_Data!$B$68))</f>
        <v>249.731135726767</v>
      </c>
      <c r="J48" s="24" t="n">
        <f aca="false">SQRT(E48^2+F48^2)</f>
        <v>249.791653775125</v>
      </c>
      <c r="K48" s="24" t="n">
        <f aca="false">IF(J48=0,0,MOD(DEGREES(ATAN2(E48,F48)),360))</f>
        <v>142.738753731969</v>
      </c>
    </row>
    <row r="49" customFormat="false" ht="15" hidden="false" customHeight="true" outlineLevel="0" collapsed="false">
      <c r="A49" s="20" t="n">
        <v>3110</v>
      </c>
      <c r="B49" s="20" t="n">
        <v>27.75</v>
      </c>
      <c r="C49" s="20" t="n">
        <v>143.15</v>
      </c>
      <c r="D49" s="24" t="n">
        <f aca="false">D48+(A49-A48)/2*(COS(RADIANS(B48))+COS(RADIANS(B49)))*(IF(ACOS(MIN(1,MAX(-1,COS(RADIANS(B49-B48))-SIN(RADIANS(B48))*SIN(RADIANS(B49))*(1-COS(RADIANS(C49-C48))))))=0,1,2/(ACOS(MIN(1,MAX(-1,COS(RADIANS(B49-B48))-SIN(RADIANS(B48))*SIN(RADIANS(B49))*(1-COS(RADIANS(C49-C48)))))))*TAN((ACOS(MIN(1,MAX(-1,COS(RADIANS(B49-B48))-SIN(RADIANS(B48))*SIN(RADIANS(B49))*(1-COS(RADIANS(C49-C48)))))))/2)))</f>
        <v>3067.10989460405</v>
      </c>
      <c r="E49" s="24" t="n">
        <f aca="false">E48+(A49-A48)/2*(SIN(RADIANS(B48))*COS(RADIANS(C48))+SIN(RADIANS(B49))*COS(RADIANS(C49)))*(IF(ACOS(MIN(1,MAX(-1,COS(RADIANS(B49-B48))-SIN(RADIANS(B48))*SIN(RADIANS(B49))*(1-COS(RADIANS(C49-C48))))))=0,1,2/(ACOS(MIN(1,MAX(-1,COS(RADIANS(B49-B48))-SIN(RADIANS(B48))*SIN(RADIANS(B49))*(1-COS(RADIANS(C49-C48)))))))*TAN((ACOS(MIN(1,MAX(-1,COS(RADIANS(B49-B48))-SIN(RADIANS(B48))*SIN(RADIANS(B49))*(1-COS(RADIANS(C49-C48)))))))/2)))</f>
        <v>-209.84326653224</v>
      </c>
      <c r="F49" s="24" t="n">
        <f aca="false">F48+(A49-A48)/2*(SIN(RADIANS(B48))*SIN(RADIANS(C48))+SIN(RADIANS(B49))*SIN(RADIANS(C49)))*(IF(ACOS(MIN(1,MAX(-1,COS(RADIANS(B49-B48))-SIN(RADIANS(B48))*SIN(RADIANS(B49))*(1-COS(RADIANS(C49-C48))))))=0,1,2/(ACOS(MIN(1,MAX(-1,COS(RADIANS(B49-B48))-SIN(RADIANS(B48))*SIN(RADIANS(B49))*(1-COS(RADIANS(C49-C48)))))))*TAN((ACOS(MIN(1,MAX(-1,COS(RADIANS(B49-B48))-SIN(RADIANS(B48))*SIN(RADIANS(B49))*(1-COS(RADIANS(C49-C48)))))))/2)))</f>
        <v>159.509142011725</v>
      </c>
      <c r="G49" s="24" t="n">
        <f aca="false">IF(H49=0,0,DEGREES(ACOS(MIN(1,MAX(-1,COS(RADIANS(B49-B48))-SIN(RADIANS(B48))*SIN(RADIANS(B49))*(1-COS(RADIANS(C49-C48)))))))*100/H49)</f>
        <v>2.50000000000047</v>
      </c>
      <c r="H49" s="24" t="n">
        <f aca="false">A49-A48</f>
        <v>30</v>
      </c>
      <c r="I49" s="24" t="n">
        <f aca="false">J49*COS(RADIANS(K49-Well_Data!$B$68))</f>
        <v>263.523890060052</v>
      </c>
      <c r="J49" s="24" t="n">
        <f aca="false">SQRT(E49^2+F49^2)</f>
        <v>263.585589314434</v>
      </c>
      <c r="K49" s="24" t="n">
        <f aca="false">IF(J49=0,0,MOD(DEGREES(ATAN2(E49,F49)),360))</f>
        <v>142.760275372929</v>
      </c>
    </row>
    <row r="50" customFormat="false" ht="15" hidden="false" customHeight="true" outlineLevel="0" collapsed="false">
      <c r="A50" s="20" t="n">
        <v>3140</v>
      </c>
      <c r="B50" s="20" t="n">
        <v>28.5</v>
      </c>
      <c r="C50" s="20" t="n">
        <v>143.13</v>
      </c>
      <c r="D50" s="24" t="n">
        <f aca="false">D49+(A50-A49)/2*(COS(RADIANS(B49))+COS(RADIANS(B50)))*(IF(ACOS(MIN(1,MAX(-1,COS(RADIANS(B50-B49))-SIN(RADIANS(B49))*SIN(RADIANS(B50))*(1-COS(RADIANS(C50-C49))))))=0,1,2/(ACOS(MIN(1,MAX(-1,COS(RADIANS(B50-B49))-SIN(RADIANS(B49))*SIN(RADIANS(B50))*(1-COS(RADIANS(C50-C49)))))))*TAN((ACOS(MIN(1,MAX(-1,COS(RADIANS(B50-B49))-SIN(RADIANS(B49))*SIN(RADIANS(B50))*(1-COS(RADIANS(C50-C49)))))))/2)))</f>
        <v>3093.56734370106</v>
      </c>
      <c r="E50" s="24" t="n">
        <f aca="false">E49+(A50-A49)/2*(SIN(RADIANS(B49))*COS(RADIANS(C49))+SIN(RADIANS(B50))*COS(RADIANS(C50)))*(IF(ACOS(MIN(1,MAX(-1,COS(RADIANS(B50-B49))-SIN(RADIANS(B49))*SIN(RADIANS(B50))*(1-COS(RADIANS(C50-C49))))))=0,1,2/(ACOS(MIN(1,MAX(-1,COS(RADIANS(B50-B49))-SIN(RADIANS(B49))*SIN(RADIANS(B50))*(1-COS(RADIANS(C50-C49)))))))*TAN((ACOS(MIN(1,MAX(-1,COS(RADIANS(B50-B49))-SIN(RADIANS(B49))*SIN(RADIANS(B50))*(1-COS(RADIANS(C50-C49)))))))/2)))</f>
        <v>-221.158154766387</v>
      </c>
      <c r="F50" s="24" t="n">
        <f aca="false">F49+(A50-A49)/2*(SIN(RADIANS(B49))*SIN(RADIANS(C49))+SIN(RADIANS(B50))*SIN(RADIANS(C50)))*(IF(ACOS(MIN(1,MAX(-1,COS(RADIANS(B50-B49))-SIN(RADIANS(B49))*SIN(RADIANS(B50))*(1-COS(RADIANS(C50-C49))))))=0,1,2/(ACOS(MIN(1,MAX(-1,COS(RADIANS(B50-B49))-SIN(RADIANS(B49))*SIN(RADIANS(B50))*(1-COS(RADIANS(C50-C49)))))))*TAN((ACOS(MIN(1,MAX(-1,COS(RADIANS(B50-B49))-SIN(RADIANS(B49))*SIN(RADIANS(B50))*(1-COS(RADIANS(C50-C49)))))))/2)))</f>
        <v>167.992292282908</v>
      </c>
      <c r="G50" s="24" t="n">
        <f aca="false">IF(H50=0,0,DEGREES(ACOS(MIN(1,MAX(-1,COS(RADIANS(B50-B49))-SIN(RADIANS(B49))*SIN(RADIANS(B50))*(1-COS(RADIANS(C50-C49)))))))*100/H50)</f>
        <v>2.50019748410361</v>
      </c>
      <c r="H50" s="24" t="n">
        <f aca="false">A50-A49</f>
        <v>30</v>
      </c>
      <c r="I50" s="24" t="n">
        <f aca="false">J50*COS(RADIANS(K50-Well_Data!$B$68))</f>
        <v>277.664097553312</v>
      </c>
      <c r="J50" s="24" t="n">
        <f aca="false">SQRT(E50^2+F50^2)</f>
        <v>277.727095700328</v>
      </c>
      <c r="K50" s="24" t="n">
        <f aca="false">IF(J50=0,0,MOD(DEGREES(ATAN2(E50,F50)),360))</f>
        <v>142.779604488976</v>
      </c>
    </row>
    <row r="51" customFormat="false" ht="15" hidden="false" customHeight="true" outlineLevel="0" collapsed="false">
      <c r="A51" s="20" t="n">
        <v>3170</v>
      </c>
      <c r="B51" s="20" t="n">
        <v>29.25</v>
      </c>
      <c r="C51" s="20" t="n">
        <v>143.25</v>
      </c>
      <c r="D51" s="24" t="n">
        <f aca="false">D50+(A51-A50)/2*(COS(RADIANS(B50))+COS(RADIANS(B51)))*(IF(ACOS(MIN(1,MAX(-1,COS(RADIANS(B51-B50))-SIN(RADIANS(B50))*SIN(RADIANS(B51))*(1-COS(RADIANS(C51-C50))))))=0,1,2/(ACOS(MIN(1,MAX(-1,COS(RADIANS(B51-B50))-SIN(RADIANS(B50))*SIN(RADIANS(B51))*(1-COS(RADIANS(C51-C50)))))))*TAN((ACOS(MIN(1,MAX(-1,COS(RADIANS(B51-B50))-SIN(RADIANS(B50))*SIN(RADIANS(B51))*(1-COS(RADIANS(C51-C50)))))))/2)))</f>
        <v>3119.83741784598</v>
      </c>
      <c r="E51" s="24" t="n">
        <f aca="false">E50+(A51-A50)/2*(SIN(RADIANS(B50))*COS(RADIANS(C50))+SIN(RADIANS(B51))*COS(RADIANS(C51)))*(IF(ACOS(MIN(1,MAX(-1,COS(RADIANS(B51-B50))-SIN(RADIANS(B50))*SIN(RADIANS(B51))*(1-COS(RADIANS(C51-C50))))))=0,1,2/(ACOS(MIN(1,MAX(-1,COS(RADIANS(B51-B50))-SIN(RADIANS(B50))*SIN(RADIANS(B51))*(1-COS(RADIANS(C51-C50)))))))*TAN((ACOS(MIN(1,MAX(-1,COS(RADIANS(B51-B50))-SIN(RADIANS(B50))*SIN(RADIANS(B51))*(1-COS(RADIANS(C51-C50)))))))/2)))</f>
        <v>-232.756863314819</v>
      </c>
      <c r="F51" s="24" t="n">
        <f aca="false">F50+(A51-A50)/2*(SIN(RADIANS(B50))*SIN(RADIANS(C50))+SIN(RADIANS(B51))*SIN(RADIANS(C51)))*(IF(ACOS(MIN(1,MAX(-1,COS(RADIANS(B51-B50))-SIN(RADIANS(B50))*SIN(RADIANS(B51))*(1-COS(RADIANS(C51-C50))))))=0,1,2/(ACOS(MIN(1,MAX(-1,COS(RADIANS(B51-B50))-SIN(RADIANS(B50))*SIN(RADIANS(B51))*(1-COS(RADIANS(C51-C50)))))))*TAN((ACOS(MIN(1,MAX(-1,COS(RADIANS(B51-B50))-SIN(RADIANS(B50))*SIN(RADIANS(B51))*(1-COS(RADIANS(C51-C50)))))))/2)))</f>
        <v>176.672167670889</v>
      </c>
      <c r="G51" s="24" t="n">
        <f aca="false">IF(H51=0,0,DEGREES(ACOS(MIN(1,MAX(-1,COS(RADIANS(B51-B50))-SIN(RADIANS(B50))*SIN(RADIANS(B51))*(1-COS(RADIANS(C51-C50)))))))*100/H51)</f>
        <v>2.50744990773874</v>
      </c>
      <c r="H51" s="24" t="n">
        <f aca="false">A51-A50</f>
        <v>30</v>
      </c>
      <c r="I51" s="24" t="n">
        <f aca="false">J51*COS(RADIANS(K51-Well_Data!$B$68))</f>
        <v>292.149552626587</v>
      </c>
      <c r="J51" s="24" t="n">
        <f aca="false">SQRT(E51^2+F51^2)</f>
        <v>292.213641450368</v>
      </c>
      <c r="K51" s="24" t="n">
        <f aca="false">IF(J51=0,0,MOD(DEGREES(ATAN2(E51,F51)),360))</f>
        <v>142.799985550497</v>
      </c>
    </row>
    <row r="52" customFormat="false" ht="15" hidden="false" customHeight="true" outlineLevel="0" collapsed="false">
      <c r="A52" s="20" t="n">
        <v>3200</v>
      </c>
      <c r="B52" s="20" t="n">
        <v>30</v>
      </c>
      <c r="C52" s="20" t="n">
        <v>143.32</v>
      </c>
      <c r="D52" s="24" t="n">
        <f aca="false">D51+(A52-A51)/2*(COS(RADIANS(B51))+COS(RADIANS(B52)))*(IF(ACOS(MIN(1,MAX(-1,COS(RADIANS(B52-B51))-SIN(RADIANS(B51))*SIN(RADIANS(B52))*(1-COS(RADIANS(C52-C51))))))=0,1,2/(ACOS(MIN(1,MAX(-1,COS(RADIANS(B52-B51))-SIN(RADIANS(B51))*SIN(RADIANS(B52))*(1-COS(RADIANS(C52-C51)))))))*TAN((ACOS(MIN(1,MAX(-1,COS(RADIANS(B52-B51))-SIN(RADIANS(B51))*SIN(RADIANS(B52))*(1-COS(RADIANS(C52-C51)))))))/2)))</f>
        <v>3145.91561217142</v>
      </c>
      <c r="E52" s="24" t="n">
        <f aca="false">E51+(A52-A51)/2*(SIN(RADIANS(B51))*COS(RADIANS(C51))+SIN(RADIANS(B52))*COS(RADIANS(C52)))*(IF(ACOS(MIN(1,MAX(-1,COS(RADIANS(B52-B51))-SIN(RADIANS(B51))*SIN(RADIANS(B52))*(1-COS(RADIANS(C52-C51))))))=0,1,2/(ACOS(MIN(1,MAX(-1,COS(RADIANS(B52-B51))-SIN(RADIANS(B51))*SIN(RADIANS(B52))*(1-COS(RADIANS(C52-C51)))))))*TAN((ACOS(MIN(1,MAX(-1,COS(RADIANS(B52-B51))-SIN(RADIANS(B51))*SIN(RADIANS(B52))*(1-COS(RADIANS(C52-C51)))))))/2)))</f>
        <v>-244.644559455376</v>
      </c>
      <c r="F52" s="24" t="n">
        <f aca="false">F51+(A52-A51)/2*(SIN(RADIANS(B51))*SIN(RADIANS(C51))+SIN(RADIANS(B52))*SIN(RADIANS(C52)))*(IF(ACOS(MIN(1,MAX(-1,COS(RADIANS(B52-B51))-SIN(RADIANS(B51))*SIN(RADIANS(B52))*(1-COS(RADIANS(C52-C51))))))=0,1,2/(ACOS(MIN(1,MAX(-1,COS(RADIANS(B52-B51))-SIN(RADIANS(B51))*SIN(RADIANS(B52))*(1-COS(RADIANS(C52-C51)))))))*TAN((ACOS(MIN(1,MAX(-1,COS(RADIANS(B52-B51))-SIN(RADIANS(B51))*SIN(RADIANS(B52))*(1-COS(RADIANS(C52-C51)))))))/2)))</f>
        <v>185.53769545382</v>
      </c>
      <c r="G52" s="24" t="n">
        <f aca="false">IF(H52=0,0,DEGREES(ACOS(MIN(1,MAX(-1,COS(RADIANS(B52-B51))-SIN(RADIANS(B51))*SIN(RADIANS(B52))*(1-COS(RADIANS(C52-C51)))))))*100/H52)</f>
        <v>2.50265893294276</v>
      </c>
      <c r="H52" s="24" t="n">
        <f aca="false">A52-A51</f>
        <v>30</v>
      </c>
      <c r="I52" s="24" t="n">
        <f aca="false">J52*COS(RADIANS(K52-Well_Data!$B$68))</f>
        <v>306.977927312859</v>
      </c>
      <c r="J52" s="24" t="n">
        <f aca="false">SQRT(E52^2+F52^2)</f>
        <v>307.04266300537</v>
      </c>
      <c r="K52" s="24" t="n">
        <f aca="false">IF(J52=0,0,MOD(DEGREES(ATAN2(E52,F52)),360))</f>
        <v>142.82342992574</v>
      </c>
    </row>
    <row r="53" customFormat="false" ht="15" hidden="false" customHeight="true" outlineLevel="0" collapsed="false">
      <c r="A53" s="20" t="n">
        <v>3230</v>
      </c>
      <c r="B53" s="20" t="n">
        <v>30.75</v>
      </c>
      <c r="C53" s="20" t="n">
        <v>143.26</v>
      </c>
      <c r="D53" s="24" t="n">
        <f aca="false">D52+(A53-A52)/2*(COS(RADIANS(B52))+COS(RADIANS(B53)))*(IF(ACOS(MIN(1,MAX(-1,COS(RADIANS(B53-B52))-SIN(RADIANS(B52))*SIN(RADIANS(B53))*(1-COS(RADIANS(C53-C52))))))=0,1,2/(ACOS(MIN(1,MAX(-1,COS(RADIANS(B53-B52))-SIN(RADIANS(B52))*SIN(RADIANS(B53))*(1-COS(RADIANS(C53-C52)))))))*TAN((ACOS(MIN(1,MAX(-1,COS(RADIANS(B53-B52))-SIN(RADIANS(B52))*SIN(RADIANS(B53))*(1-COS(RADIANS(C53-C52)))))))/2)))</f>
        <v>3171.79745957183</v>
      </c>
      <c r="E53" s="24" t="n">
        <f aca="false">E52+(A53-A52)/2*(SIN(RADIANS(B52))*COS(RADIANS(C52))+SIN(RADIANS(B53))*COS(RADIANS(C53)))*(IF(ACOS(MIN(1,MAX(-1,COS(RADIANS(B53-B52))-SIN(RADIANS(B52))*SIN(RADIANS(B53))*(1-COS(RADIANS(C53-C52))))))=0,1,2/(ACOS(MIN(1,MAX(-1,COS(RADIANS(B53-B52))-SIN(RADIANS(B52))*SIN(RADIANS(B53))*(1-COS(RADIANS(C53-C52)))))))*TAN((ACOS(MIN(1,MAX(-1,COS(RADIANS(B53-B52))-SIN(RADIANS(B52))*SIN(RADIANS(B53))*(1-COS(RADIANS(C53-C52)))))))/2)))</f>
        <v>-256.805548750868</v>
      </c>
      <c r="F53" s="24" t="n">
        <f aca="false">F52+(A53-A52)/2*(SIN(RADIANS(B52))*SIN(RADIANS(C52))+SIN(RADIANS(B53))*SIN(RADIANS(C53)))*(IF(ACOS(MIN(1,MAX(-1,COS(RADIANS(B53-B52))-SIN(RADIANS(B52))*SIN(RADIANS(B53))*(1-COS(RADIANS(C53-C52))))))=0,1,2/(ACOS(MIN(1,MAX(-1,COS(RADIANS(B53-B52))-SIN(RADIANS(B52))*SIN(RADIANS(B53))*(1-COS(RADIANS(C53-C52)))))))*TAN((ACOS(MIN(1,MAX(-1,COS(RADIANS(B53-B52))-SIN(RADIANS(B52))*SIN(RADIANS(B53))*(1-COS(RADIANS(C53-C52)))))))/2)))</f>
        <v>194.605630306714</v>
      </c>
      <c r="G53" s="24" t="n">
        <f aca="false">IF(H53=0,0,DEGREES(ACOS(MIN(1,MAX(-1,COS(RADIANS(B53-B52))-SIN(RADIANS(B52))*SIN(RADIANS(B53))*(1-COS(RADIANS(C53-C52)))))))*100/H53)</f>
        <v>2.50204439470203</v>
      </c>
      <c r="H53" s="24" t="n">
        <f aca="false">A53-A52</f>
        <v>30</v>
      </c>
      <c r="I53" s="24" t="n">
        <f aca="false">J53*COS(RADIANS(K53-Well_Data!$B$68))</f>
        <v>322.146372696604</v>
      </c>
      <c r="J53" s="24" t="n">
        <f aca="false">SQRT(E53^2+F53^2)</f>
        <v>322.211795588411</v>
      </c>
      <c r="K53" s="24" t="n">
        <f aca="false">IF(J53=0,0,MOD(DEGREES(ATAN2(E53,F53)),360))</f>
        <v>142.845379857017</v>
      </c>
    </row>
    <row r="54" customFormat="false" ht="15" hidden="false" customHeight="true" outlineLevel="0" collapsed="false">
      <c r="A54" s="20" t="n">
        <v>3260</v>
      </c>
      <c r="B54" s="20" t="n">
        <v>31.5</v>
      </c>
      <c r="C54" s="20" t="n">
        <v>143.15</v>
      </c>
      <c r="D54" s="24" t="n">
        <f aca="false">D53+(A54-A53)/2*(COS(RADIANS(B53))+COS(RADIANS(B54)))*(IF(ACOS(MIN(1,MAX(-1,COS(RADIANS(B54-B53))-SIN(RADIANS(B53))*SIN(RADIANS(B54))*(1-COS(RADIANS(C54-C53))))))=0,1,2/(ACOS(MIN(1,MAX(-1,COS(RADIANS(B54-B53))-SIN(RADIANS(B53))*SIN(RADIANS(B54))*(1-COS(RADIANS(C54-C53)))))))*TAN((ACOS(MIN(1,MAX(-1,COS(RADIANS(B54-B53))-SIN(RADIANS(B53))*SIN(RADIANS(B54))*(1-COS(RADIANS(C54-C53)))))))/2)))</f>
        <v>3197.47852701655</v>
      </c>
      <c r="E54" s="24" t="n">
        <f aca="false">E53+(A54-A53)/2*(SIN(RADIANS(B53))*COS(RADIANS(C53))+SIN(RADIANS(B54))*COS(RADIANS(C54)))*(IF(ACOS(MIN(1,MAX(-1,COS(RADIANS(B54-B53))-SIN(RADIANS(B53))*SIN(RADIANS(B54))*(1-COS(RADIANS(C54-C53))))))=0,1,2/(ACOS(MIN(1,MAX(-1,COS(RADIANS(B54-B53))-SIN(RADIANS(B53))*SIN(RADIANS(B54))*(1-COS(RADIANS(C54-C53)))))))*TAN((ACOS(MIN(1,MAX(-1,COS(RADIANS(B54-B53))-SIN(RADIANS(B53))*SIN(RADIANS(B54))*(1-COS(RADIANS(C54-C53)))))))/2)))</f>
        <v>-269.223276378295</v>
      </c>
      <c r="F54" s="24" t="n">
        <f aca="false">F53+(A54-A53)/2*(SIN(RADIANS(B53))*SIN(RADIANS(C53))+SIN(RADIANS(B54))*SIN(RADIANS(C54)))*(IF(ACOS(MIN(1,MAX(-1,COS(RADIANS(B54-B53))-SIN(RADIANS(B53))*SIN(RADIANS(B54))*(1-COS(RADIANS(C54-C53))))))=0,1,2/(ACOS(MIN(1,MAX(-1,COS(RADIANS(B54-B53))-SIN(RADIANS(B53))*SIN(RADIANS(B54))*(1-COS(RADIANS(C54-C53)))))))*TAN((ACOS(MIN(1,MAX(-1,COS(RADIANS(B54-B53))-SIN(RADIANS(B53))*SIN(RADIANS(B54))*(1-COS(RADIANS(C54-C53)))))))/2)))</f>
        <v>203.893788931799</v>
      </c>
      <c r="G54" s="24" t="n">
        <f aca="false">IF(H54=0,0,DEGREES(ACOS(MIN(1,MAX(-1,COS(RADIANS(B54-B53))-SIN(RADIANS(B53))*SIN(RADIANS(B54))*(1-COS(RADIANS(C54-C53)))))))*100/H54)</f>
        <v>2.50717327642592</v>
      </c>
      <c r="H54" s="24" t="n">
        <f aca="false">A54-A53</f>
        <v>30</v>
      </c>
      <c r="I54" s="24" t="n">
        <f aca="false">J54*COS(RADIANS(K54-Well_Data!$B$68))</f>
        <v>337.65196803949</v>
      </c>
      <c r="J54" s="24" t="n">
        <f aca="false">SQRT(E54^2+F54^2)</f>
        <v>337.718595444238</v>
      </c>
      <c r="K54" s="24" t="n">
        <f aca="false">IF(J54=0,0,MOD(DEGREES(ATAN2(E54,F54)),360))</f>
        <v>142.86186512346</v>
      </c>
    </row>
    <row r="55" customFormat="false" ht="15" hidden="false" customHeight="true" outlineLevel="0" collapsed="false">
      <c r="A55" s="20" t="n">
        <v>3290</v>
      </c>
      <c r="B55" s="20" t="n">
        <v>32.25</v>
      </c>
      <c r="C55" s="20" t="n">
        <v>143.21</v>
      </c>
      <c r="D55" s="24" t="n">
        <f aca="false">D54+(A55-A54)/2*(COS(RADIANS(B54))+COS(RADIANS(B55)))*(IF(ACOS(MIN(1,MAX(-1,COS(RADIANS(B55-B54))-SIN(RADIANS(B54))*SIN(RADIANS(B55))*(1-COS(RADIANS(C55-C54))))))=0,1,2/(ACOS(MIN(1,MAX(-1,COS(RADIANS(B55-B54))-SIN(RADIANS(B54))*SIN(RADIANS(B55))*(1-COS(RADIANS(C55-C54)))))))*TAN((ACOS(MIN(1,MAX(-1,COS(RADIANS(B55-B54))-SIN(RADIANS(B54))*SIN(RADIANS(B55))*(1-COS(RADIANS(C55-C54)))))))/2)))</f>
        <v>3222.95441122625</v>
      </c>
      <c r="E55" s="24" t="n">
        <f aca="false">E54+(A55-A54)/2*(SIN(RADIANS(B54))*COS(RADIANS(C54))+SIN(RADIANS(B55))*COS(RADIANS(C55)))*(IF(ACOS(MIN(1,MAX(-1,COS(RADIANS(B55-B54))-SIN(RADIANS(B54))*SIN(RADIANS(B55))*(1-COS(RADIANS(C55-C54))))))=0,1,2/(ACOS(MIN(1,MAX(-1,COS(RADIANS(B55-B54))-SIN(RADIANS(B54))*SIN(RADIANS(B55))*(1-COS(RADIANS(C55-C54)))))))*TAN((ACOS(MIN(1,MAX(-1,COS(RADIANS(B55-B54))-SIN(RADIANS(B54))*SIN(RADIANS(B55))*(1-COS(RADIANS(C55-C54)))))))/2)))</f>
        <v>-281.905138242408</v>
      </c>
      <c r="F55" s="24" t="n">
        <f aca="false">F54+(A55-A54)/2*(SIN(RADIANS(B54))*SIN(RADIANS(C54))+SIN(RADIANS(B55))*SIN(RADIANS(C55)))*(IF(ACOS(MIN(1,MAX(-1,COS(RADIANS(B55-B54))-SIN(RADIANS(B54))*SIN(RADIANS(B55))*(1-COS(RADIANS(C55-C54))))))=0,1,2/(ACOS(MIN(1,MAX(-1,COS(RADIANS(B55-B54))-SIN(RADIANS(B54))*SIN(RADIANS(B55))*(1-COS(RADIANS(C55-C54)))))))*TAN((ACOS(MIN(1,MAX(-1,COS(RADIANS(B55-B54))-SIN(RADIANS(B54))*SIN(RADIANS(B55))*(1-COS(RADIANS(C55-C54)))))))/2)))</f>
        <v>213.387830720602</v>
      </c>
      <c r="G55" s="24" t="n">
        <f aca="false">IF(H55=0,0,DEGREES(ACOS(MIN(1,MAX(-1,COS(RADIANS(B55-B54))-SIN(RADIANS(B54))*SIN(RADIANS(B55))*(1-COS(RADIANS(C55-C54)))))))*100/H55)</f>
        <v>2.50222957190397</v>
      </c>
      <c r="H55" s="24" t="n">
        <f aca="false">A55-A54</f>
        <v>30</v>
      </c>
      <c r="I55" s="24" t="n">
        <f aca="false">J55*COS(RADIANS(K55-Well_Data!$B$68))</f>
        <v>353.492267555979</v>
      </c>
      <c r="J55" s="24" t="n">
        <f aca="false">SQRT(E55^2+F55^2)</f>
        <v>353.560282366551</v>
      </c>
      <c r="K55" s="24" t="n">
        <f aca="false">IF(J55=0,0,MOD(DEGREES(ATAN2(E55,F55)),360))</f>
        <v>142.876133818359</v>
      </c>
    </row>
    <row r="56" customFormat="false" ht="15" hidden="false" customHeight="true" outlineLevel="0" collapsed="false">
      <c r="A56" s="20" t="n">
        <v>3320</v>
      </c>
      <c r="B56" s="20" t="n">
        <v>33</v>
      </c>
      <c r="C56" s="20" t="n">
        <v>143.43</v>
      </c>
      <c r="D56" s="24" t="n">
        <f aca="false">D55+(A56-A55)/2*(COS(RADIANS(B55))+COS(RADIANS(B56)))*(IF(ACOS(MIN(1,MAX(-1,COS(RADIANS(B56-B55))-SIN(RADIANS(B55))*SIN(RADIANS(B56))*(1-COS(RADIANS(C56-C55))))))=0,1,2/(ACOS(MIN(1,MAX(-1,COS(RADIANS(B56-B55))-SIN(RADIANS(B55))*SIN(RADIANS(B56))*(1-COS(RADIANS(C56-C55)))))))*TAN((ACOS(MIN(1,MAX(-1,COS(RADIANS(B56-B55))-SIN(RADIANS(B55))*SIN(RADIANS(B56))*(1-COS(RADIANS(C56-C55)))))))/2)))</f>
        <v>3248.22075687089</v>
      </c>
      <c r="E56" s="24" t="n">
        <f aca="false">E55+(A56-A55)/2*(SIN(RADIANS(B55))*COS(RADIANS(C55))+SIN(RADIANS(B56))*COS(RADIANS(C56)))*(IF(ACOS(MIN(1,MAX(-1,COS(RADIANS(B56-B55))-SIN(RADIANS(B55))*SIN(RADIANS(B56))*(1-COS(RADIANS(C56-C55))))))=0,1,2/(ACOS(MIN(1,MAX(-1,COS(RADIANS(B56-B55))-SIN(RADIANS(B55))*SIN(RADIANS(B56))*(1-COS(RADIANS(C56-C55)))))))*TAN((ACOS(MIN(1,MAX(-1,COS(RADIANS(B56-B55))-SIN(RADIANS(B55))*SIN(RADIANS(B56))*(1-COS(RADIANS(C56-C55)))))))/2)))</f>
        <v>-294.876628603491</v>
      </c>
      <c r="F56" s="24" t="n">
        <f aca="false">F55+(A56-A55)/2*(SIN(RADIANS(B55))*SIN(RADIANS(C55))+SIN(RADIANS(B56))*SIN(RADIANS(C56)))*(IF(ACOS(MIN(1,MAX(-1,COS(RADIANS(B56-B55))-SIN(RADIANS(B55))*SIN(RADIANS(B56))*(1-COS(RADIANS(C56-C55))))))=0,1,2/(ACOS(MIN(1,MAX(-1,COS(RADIANS(B56-B55))-SIN(RADIANS(B55))*SIN(RADIANS(B56))*(1-COS(RADIANS(C56-C55)))))))*TAN((ACOS(MIN(1,MAX(-1,COS(RADIANS(B56-B55))-SIN(RADIANS(B55))*SIN(RADIANS(B56))*(1-COS(RADIANS(C56-C55)))))))/2)))</f>
        <v>223.049044062329</v>
      </c>
      <c r="G56" s="24" t="n">
        <f aca="false">IF(H56=0,0,DEGREES(ACOS(MIN(1,MAX(-1,COS(RADIANS(B56-B55))-SIN(RADIANS(B55))*SIN(RADIANS(B56))*(1-COS(RADIANS(C56-C55)))))))*100/H56)</f>
        <v>2.53106642112496</v>
      </c>
      <c r="H56" s="24" t="n">
        <f aca="false">A56-A55</f>
        <v>30</v>
      </c>
      <c r="I56" s="24" t="n">
        <f aca="false">J56*COS(RADIANS(K56-Well_Data!$B$68))</f>
        <v>369.665142421985</v>
      </c>
      <c r="J56" s="24" t="n">
        <f aca="false">SQRT(E56^2+F56^2)</f>
        <v>369.733826088012</v>
      </c>
      <c r="K56" s="24" t="n">
        <f aca="false">IF(J56=0,0,MOD(DEGREES(ATAN2(E56,F56)),360))</f>
        <v>142.895599753387</v>
      </c>
    </row>
    <row r="57" customFormat="false" ht="15" hidden="false" customHeight="true" outlineLevel="0" collapsed="false">
      <c r="A57" s="20" t="n">
        <v>3350</v>
      </c>
      <c r="B57" s="20" t="n">
        <v>33.75</v>
      </c>
      <c r="C57" s="20" t="n">
        <v>143.24</v>
      </c>
      <c r="D57" s="24" t="n">
        <f aca="false">D56+(A57-A56)/2*(COS(RADIANS(B56))+COS(RADIANS(B57)))*(IF(ACOS(MIN(1,MAX(-1,COS(RADIANS(B57-B56))-SIN(RADIANS(B56))*SIN(RADIANS(B57))*(1-COS(RADIANS(C57-C56))))))=0,1,2/(ACOS(MIN(1,MAX(-1,COS(RADIANS(B57-B56))-SIN(RADIANS(B56))*SIN(RADIANS(B57))*(1-COS(RADIANS(C57-C56)))))))*TAN((ACOS(MIN(1,MAX(-1,COS(RADIANS(B57-B56))-SIN(RADIANS(B56))*SIN(RADIANS(B57))*(1-COS(RADIANS(C57-C56)))))))/2)))</f>
        <v>3273.27322424529</v>
      </c>
      <c r="E57" s="24" t="n">
        <f aca="false">E56+(A57-A56)/2*(SIN(RADIANS(B56))*COS(RADIANS(C56))+SIN(RADIANS(B57))*COS(RADIANS(C57)))*(IF(ACOS(MIN(1,MAX(-1,COS(RADIANS(B57-B56))-SIN(RADIANS(B56))*SIN(RADIANS(B57))*(1-COS(RADIANS(C57-C56))))))=0,1,2/(ACOS(MIN(1,MAX(-1,COS(RADIANS(B57-B56))-SIN(RADIANS(B56))*SIN(RADIANS(B57))*(1-COS(RADIANS(C57-C56)))))))*TAN((ACOS(MIN(1,MAX(-1,COS(RADIANS(B57-B56))-SIN(RADIANS(B56))*SIN(RADIANS(B57))*(1-COS(RADIANS(C57-C56)))))))/2)))</f>
        <v>-308.114477984253</v>
      </c>
      <c r="F57" s="24" t="n">
        <f aca="false">F56+(A57-A56)/2*(SIN(RADIANS(B56))*SIN(RADIANS(C56))+SIN(RADIANS(B57))*SIN(RADIANS(C57)))*(IF(ACOS(MIN(1,MAX(-1,COS(RADIANS(B57-B56))-SIN(RADIANS(B56))*SIN(RADIANS(B57))*(1-COS(RADIANS(C57-C56))))))=0,1,2/(ACOS(MIN(1,MAX(-1,COS(RADIANS(B57-B56))-SIN(RADIANS(B56))*SIN(RADIANS(B57))*(1-COS(RADIANS(C57-C56)))))))*TAN((ACOS(MIN(1,MAX(-1,COS(RADIANS(B57-B56))-SIN(RADIANS(B56))*SIN(RADIANS(B57))*(1-COS(RADIANS(C57-C56)))))))/2)))</f>
        <v>232.903998232247</v>
      </c>
      <c r="G57" s="24" t="n">
        <f aca="false">IF(H57=0,0,DEGREES(ACOS(MIN(1,MAX(-1,COS(RADIANS(B57-B56))-SIN(RADIANS(B56))*SIN(RADIANS(B57))*(1-COS(RADIANS(C57-C56)))))))*100/H57)</f>
        <v>2.52415801578217</v>
      </c>
      <c r="H57" s="24" t="n">
        <f aca="false">A57-A56</f>
        <v>30</v>
      </c>
      <c r="I57" s="24" t="n">
        <f aca="false">J57*COS(RADIANS(K57-Well_Data!$B$68))</f>
        <v>386.167384263094</v>
      </c>
      <c r="J57" s="24" t="n">
        <f aca="false">SQRT(E57^2+F57^2)</f>
        <v>386.236720077306</v>
      </c>
      <c r="K57" s="24" t="n">
        <f aca="false">IF(J57=0,0,MOD(DEGREES(ATAN2(E57,F57)),360))</f>
        <v>142.914334200156</v>
      </c>
    </row>
    <row r="58" customFormat="false" ht="15" hidden="false" customHeight="true" outlineLevel="0" collapsed="false">
      <c r="A58" s="20" t="n">
        <v>3380</v>
      </c>
      <c r="B58" s="20" t="n">
        <v>34.5</v>
      </c>
      <c r="C58" s="20" t="n">
        <v>143.36</v>
      </c>
      <c r="D58" s="24" t="n">
        <f aca="false">D57+(A58-A57)/2*(COS(RADIANS(B57))+COS(RADIANS(B58)))*(IF(ACOS(MIN(1,MAX(-1,COS(RADIANS(B58-B57))-SIN(RADIANS(B57))*SIN(RADIANS(B58))*(1-COS(RADIANS(C58-C57))))))=0,1,2/(ACOS(MIN(1,MAX(-1,COS(RADIANS(B58-B57))-SIN(RADIANS(B57))*SIN(RADIANS(B58))*(1-COS(RADIANS(C58-C57)))))))*TAN((ACOS(MIN(1,MAX(-1,COS(RADIANS(B58-B57))-SIN(RADIANS(B57))*SIN(RADIANS(B58))*(1-COS(RADIANS(C58-C57)))))))/2)))</f>
        <v>3298.10751872434</v>
      </c>
      <c r="E58" s="24" t="n">
        <f aca="false">E57+(A58-A57)/2*(SIN(RADIANS(B57))*COS(RADIANS(C57))+SIN(RADIANS(B58))*COS(RADIANS(C58)))*(IF(ACOS(MIN(1,MAX(-1,COS(RADIANS(B58-B57))-SIN(RADIANS(B57))*SIN(RADIANS(B58))*(1-COS(RADIANS(C58-C57))))))=0,1,2/(ACOS(MIN(1,MAX(-1,COS(RADIANS(B58-B57))-SIN(RADIANS(B57))*SIN(RADIANS(B58))*(1-COS(RADIANS(C58-C57)))))))*TAN((ACOS(MIN(1,MAX(-1,COS(RADIANS(B58-B57))-SIN(RADIANS(B57))*SIN(RADIANS(B58))*(1-COS(RADIANS(C58-C57)))))))/2)))</f>
        <v>-321.608367644722</v>
      </c>
      <c r="F58" s="24" t="n">
        <f aca="false">F57+(A58-A57)/2*(SIN(RADIANS(B57))*SIN(RADIANS(C57))+SIN(RADIANS(B58))*SIN(RADIANS(C58)))*(IF(ACOS(MIN(1,MAX(-1,COS(RADIANS(B58-B57))-SIN(RADIANS(B57))*SIN(RADIANS(B58))*(1-COS(RADIANS(C58-C57))))))=0,1,2/(ACOS(MIN(1,MAX(-1,COS(RADIANS(B58-B57))-SIN(RADIANS(B57))*SIN(RADIANS(B58))*(1-COS(RADIANS(C58-C57)))))))*TAN((ACOS(MIN(1,MAX(-1,COS(RADIANS(B58-B57))-SIN(RADIANS(B57))*SIN(RADIANS(B58))*(1-COS(RADIANS(C58-C57)))))))/2)))</f>
        <v>242.961821309731</v>
      </c>
      <c r="G58" s="24" t="n">
        <f aca="false">IF(H58=0,0,DEGREES(ACOS(MIN(1,MAX(-1,COS(RADIANS(B58-B57))-SIN(RADIANS(B57))*SIN(RADIANS(B58))*(1-COS(RADIANS(C58-C57)))))))*100/H58)</f>
        <v>2.51004979561564</v>
      </c>
      <c r="H58" s="24" t="n">
        <f aca="false">A58-A57</f>
        <v>30</v>
      </c>
      <c r="I58" s="24" t="n">
        <f aca="false">J58*COS(RADIANS(K58-Well_Data!$B$68))</f>
        <v>402.996010393745</v>
      </c>
      <c r="J58" s="24" t="n">
        <f aca="false">SQRT(E58^2+F58^2)</f>
        <v>403.066233705137</v>
      </c>
      <c r="K58" s="24" t="n">
        <f aca="false">IF(J58=0,0,MOD(DEGREES(ATAN2(E58,F58)),360))</f>
        <v>142.930461605551</v>
      </c>
    </row>
    <row r="59" customFormat="false" ht="15" hidden="false" customHeight="true" outlineLevel="0" collapsed="false">
      <c r="A59" s="20" t="n">
        <v>3400</v>
      </c>
      <c r="B59" s="20" t="n">
        <v>35</v>
      </c>
      <c r="C59" s="20" t="n">
        <v>143.4</v>
      </c>
      <c r="D59" s="24" t="n">
        <f aca="false">D58+(A59-A58)/2*(COS(RADIANS(B58))+COS(RADIANS(B59)))*(IF(ACOS(MIN(1,MAX(-1,COS(RADIANS(B59-B58))-SIN(RADIANS(B58))*SIN(RADIANS(B59))*(1-COS(RADIANS(C59-C58))))))=0,1,2/(ACOS(MIN(1,MAX(-1,COS(RADIANS(B59-B58))-SIN(RADIANS(B58))*SIN(RADIANS(B59))*(1-COS(RADIANS(C59-C58)))))))*TAN((ACOS(MIN(1,MAX(-1,COS(RADIANS(B59-B58))-SIN(RADIANS(B58))*SIN(RADIANS(B59))*(1-COS(RADIANS(C59-C58)))))))/2)))</f>
        <v>3314.54040555674</v>
      </c>
      <c r="E59" s="24" t="n">
        <f aca="false">E58+(A59-A58)/2*(SIN(RADIANS(B58))*COS(RADIANS(C58))+SIN(RADIANS(B59))*COS(RADIANS(C59)))*(IF(ACOS(MIN(1,MAX(-1,COS(RADIANS(B59-B58))-SIN(RADIANS(B58))*SIN(RADIANS(B59))*(1-COS(RADIANS(C59-C58))))))=0,1,2/(ACOS(MIN(1,MAX(-1,COS(RADIANS(B59-B58))-SIN(RADIANS(B58))*SIN(RADIANS(B59))*(1-COS(RADIANS(C59-C58)))))))*TAN((ACOS(MIN(1,MAX(-1,COS(RADIANS(B59-B58))-SIN(RADIANS(B58))*SIN(RADIANS(B59))*(1-COS(RADIANS(C59-C58)))))))/2)))</f>
        <v>-330.758047209399</v>
      </c>
      <c r="F59" s="24" t="n">
        <f aca="false">F58+(A59-A58)/2*(SIN(RADIANS(B58))*SIN(RADIANS(C58))+SIN(RADIANS(B59))*SIN(RADIANS(C59)))*(IF(ACOS(MIN(1,MAX(-1,COS(RADIANS(B59-B58))-SIN(RADIANS(B58))*SIN(RADIANS(B59))*(1-COS(RADIANS(C59-C58))))))=0,1,2/(ACOS(MIN(1,MAX(-1,COS(RADIANS(B59-B58))-SIN(RADIANS(B58))*SIN(RADIANS(B59))*(1-COS(RADIANS(C59-C58)))))))*TAN((ACOS(MIN(1,MAX(-1,COS(RADIANS(B59-B58))-SIN(RADIANS(B58))*SIN(RADIANS(B59))*(1-COS(RADIANS(C59-C58)))))))/2)))</f>
        <v>249.761898549512</v>
      </c>
      <c r="G59" s="24" t="n">
        <f aca="false">IF(H59=0,0,DEGREES(ACOS(MIN(1,MAX(-1,COS(RADIANS(B59-B58))-SIN(RADIANS(B58))*SIN(RADIANS(B59))*(1-COS(RADIANS(C59-C58)))))))*100/H59)</f>
        <v>2.50259770147355</v>
      </c>
      <c r="H59" s="24" t="n">
        <f aca="false">A59-A58</f>
        <v>20</v>
      </c>
      <c r="I59" s="24" t="n">
        <f aca="false">J59*COS(RADIANS(K59-Well_Data!$B$68))</f>
        <v>414.395241770647</v>
      </c>
      <c r="J59" s="24" t="n">
        <f aca="false">SQRT(E59^2+F59^2)</f>
        <v>414.465790820946</v>
      </c>
      <c r="K59" s="24" t="n">
        <f aca="false">IF(J59=0,0,MOD(DEGREES(ATAN2(E59,F59)),360))</f>
        <v>142.94282951061</v>
      </c>
    </row>
    <row r="60" customFormat="false" ht="15" hidden="false" customHeight="true" outlineLevel="0" collapsed="false">
      <c r="A60" s="20" t="n">
        <v>3493</v>
      </c>
      <c r="B60" s="20" t="n">
        <v>35.04</v>
      </c>
      <c r="C60" s="20" t="n">
        <v>143.51</v>
      </c>
      <c r="D60" s="24" t="n">
        <f aca="false">D59+(A60-A59)/2*(COS(RADIANS(B59))+COS(RADIANS(B60)))*(IF(ACOS(MIN(1,MAX(-1,COS(RADIANS(B60-B59))-SIN(RADIANS(B59))*SIN(RADIANS(B60))*(1-COS(RADIANS(C60-C59))))))=0,1,2/(ACOS(MIN(1,MAX(-1,COS(RADIANS(B60-B59))-SIN(RADIANS(B59))*SIN(RADIANS(B60))*(1-COS(RADIANS(C60-C59)))))))*TAN((ACOS(MIN(1,MAX(-1,COS(RADIANS(B60-B59))-SIN(RADIANS(B59))*SIN(RADIANS(B60))*(1-COS(RADIANS(C60-C59)))))))/2)))</f>
        <v>3390.70292710904</v>
      </c>
      <c r="E60" s="24" t="n">
        <f aca="false">E59+(A60-A59)/2*(SIN(RADIANS(B59))*COS(RADIANS(C59))+SIN(RADIANS(B60))*COS(RADIANS(C60)))*(IF(ACOS(MIN(1,MAX(-1,COS(RADIANS(B60-B59))-SIN(RADIANS(B59))*SIN(RADIANS(B60))*(1-COS(RADIANS(C60-C59))))))=0,1,2/(ACOS(MIN(1,MAX(-1,COS(RADIANS(B60-B59))-SIN(RADIANS(B59))*SIN(RADIANS(B60))*(1-COS(RADIANS(C60-C59)))))))*TAN((ACOS(MIN(1,MAX(-1,COS(RADIANS(B60-B59))-SIN(RADIANS(B59))*SIN(RADIANS(B60))*(1-COS(RADIANS(C60-C59)))))))/2)))</f>
        <v>-373.634295862815</v>
      </c>
      <c r="F60" s="24" t="n">
        <f aca="false">F59+(A60-A59)/2*(SIN(RADIANS(B59))*SIN(RADIANS(C59))+SIN(RADIANS(B60))*SIN(RADIANS(C60)))*(IF(ACOS(MIN(1,MAX(-1,COS(RADIANS(B60-B59))-SIN(RADIANS(B59))*SIN(RADIANS(B60))*(1-COS(RADIANS(C60-C59))))))=0,1,2/(ACOS(MIN(1,MAX(-1,COS(RADIANS(B60-B59))-SIN(RADIANS(B59))*SIN(RADIANS(B60))*(1-COS(RADIANS(C60-C59)))))))*TAN((ACOS(MIN(1,MAX(-1,COS(RADIANS(B60-B59))-SIN(RADIANS(B59))*SIN(RADIANS(B60))*(1-COS(RADIANS(C60-C59)))))))/2)))</f>
        <v>281.540765522057</v>
      </c>
      <c r="G60" s="24" t="n">
        <f aca="false">IF(H60=0,0,DEGREES(ACOS(MIN(1,MAX(-1,COS(RADIANS(B60-B59))-SIN(RADIANS(B59))*SIN(RADIANS(B60))*(1-COS(RADIANS(C60-C59)))))))*100/H60)</f>
        <v>0.08035608146708</v>
      </c>
      <c r="H60" s="24" t="n">
        <f aca="false">A60-A59</f>
        <v>93</v>
      </c>
      <c r="I60" s="24" t="n">
        <f aca="false">J60*COS(RADIANS(K60-Well_Data!$B$68))</f>
        <v>467.762004927333</v>
      </c>
      <c r="J60" s="24" t="n">
        <f aca="false">SQRT(E60^2+F60^2)</f>
        <v>467.833078881397</v>
      </c>
      <c r="K60" s="24" t="n">
        <f aca="false">IF(J60=0,0,MOD(DEGREES(ATAN2(E60,F60)),360))</f>
        <v>143.001258941428</v>
      </c>
    </row>
    <row r="61" customFormat="false" ht="15" hidden="false" customHeight="true" outlineLevel="0" collapsed="false">
      <c r="A61" s="20" t="n">
        <v>3586</v>
      </c>
      <c r="B61" s="20" t="n">
        <v>34.89</v>
      </c>
      <c r="C61" s="20" t="n">
        <v>143.32</v>
      </c>
      <c r="D61" s="24" t="n">
        <f aca="false">D60+(A61-A60)/2*(COS(RADIANS(B60))+COS(RADIANS(B61)))*(IF(ACOS(MIN(1,MAX(-1,COS(RADIANS(B61-B60))-SIN(RADIANS(B60))*SIN(RADIANS(B61))*(1-COS(RADIANS(C61-C60))))))=0,1,2/(ACOS(MIN(1,MAX(-1,COS(RADIANS(B61-B60))-SIN(RADIANS(B60))*SIN(RADIANS(B61))*(1-COS(RADIANS(C61-C60)))))))*TAN((ACOS(MIN(1,MAX(-1,COS(RADIANS(B61-B60))-SIN(RADIANS(B60))*SIN(RADIANS(B61))*(1-COS(RADIANS(C61-C60)))))))/2)))</f>
        <v>3466.91663932942</v>
      </c>
      <c r="E61" s="24" t="n">
        <f aca="false">E60+(A61-A60)/2*(SIN(RADIANS(B60))*COS(RADIANS(C60))+SIN(RADIANS(B61))*COS(RADIANS(C61)))*(IF(ACOS(MIN(1,MAX(-1,COS(RADIANS(B61-B60))-SIN(RADIANS(B60))*SIN(RADIANS(B61))*(1-COS(RADIANS(C61-C60))))))=0,1,2/(ACOS(MIN(1,MAX(-1,COS(RADIANS(B61-B60))-SIN(RADIANS(B60))*SIN(RADIANS(B61))*(1-COS(RADIANS(C61-C60)))))))*TAN((ACOS(MIN(1,MAX(-1,COS(RADIANS(B61-B60))-SIN(RADIANS(B60))*SIN(RADIANS(B61))*(1-COS(RADIANS(C61-C60)))))))/2)))</f>
        <v>-416.429663979603</v>
      </c>
      <c r="F61" s="24" t="n">
        <f aca="false">F60+(A61-A60)/2*(SIN(RADIANS(B60))*SIN(RADIANS(C60))+SIN(RADIANS(B61))*SIN(RADIANS(C61)))*(IF(ACOS(MIN(1,MAX(-1,COS(RADIANS(B61-B60))-SIN(RADIANS(B60))*SIN(RADIANS(B61))*(1-COS(RADIANS(C61-C60))))))=0,1,2/(ACOS(MIN(1,MAX(-1,COS(RADIANS(B61-B60))-SIN(RADIANS(B60))*SIN(RADIANS(B61))*(1-COS(RADIANS(C61-C60)))))))*TAN((ACOS(MIN(1,MAX(-1,COS(RADIANS(B61-B60))-SIN(RADIANS(B60))*SIN(RADIANS(B61))*(1-COS(RADIANS(C61-C60)))))))/2)))</f>
        <v>313.305824855057</v>
      </c>
      <c r="G61" s="24" t="n">
        <f aca="false">IF(H61=0,0,DEGREES(ACOS(MIN(1,MAX(-1,COS(RADIANS(B61-B60))-SIN(RADIANS(B60))*SIN(RADIANS(B61))*(1-COS(RADIANS(C61-C60)))))))*100/H61)</f>
        <v>0.19930438369596</v>
      </c>
      <c r="H61" s="24" t="n">
        <f aca="false">A61-A60</f>
        <v>93</v>
      </c>
      <c r="I61" s="24" t="n">
        <f aca="false">J61*COS(RADIANS(K61-Well_Data!$B$68))</f>
        <v>521.055218428479</v>
      </c>
      <c r="J61" s="24" t="n">
        <f aca="false">SQRT(E61^2+F61^2)</f>
        <v>521.127820146145</v>
      </c>
      <c r="K61" s="24" t="n">
        <f aca="false">IF(J61=0,0,MOD(DEGREES(ATAN2(E61,F61)),360))</f>
        <v>143.043590258301</v>
      </c>
    </row>
    <row r="62" customFormat="false" ht="15" hidden="false" customHeight="true" outlineLevel="0" collapsed="false">
      <c r="A62" s="20" t="n">
        <v>3679</v>
      </c>
      <c r="B62" s="20" t="n">
        <v>34.96</v>
      </c>
      <c r="C62" s="20" t="n">
        <v>143.63</v>
      </c>
      <c r="D62" s="24" t="n">
        <f aca="false">D61+(A62-A61)/2*(COS(RADIANS(B61))+COS(RADIANS(B62)))*(IF(ACOS(MIN(1,MAX(-1,COS(RADIANS(B62-B61))-SIN(RADIANS(B61))*SIN(RADIANS(B62))*(1-COS(RADIANS(C62-C61))))))=0,1,2/(ACOS(MIN(1,MAX(-1,COS(RADIANS(B62-B61))-SIN(RADIANS(B61))*SIN(RADIANS(B62))*(1-COS(RADIANS(C62-C61)))))))*TAN((ACOS(MIN(1,MAX(-1,COS(RADIANS(B62-B61))-SIN(RADIANS(B61))*SIN(RADIANS(B62))*(1-COS(RADIANS(C62-C61)))))))/2)))</f>
        <v>3543.16759569772</v>
      </c>
      <c r="E62" s="24" t="n">
        <f aca="false">E61+(A62-A61)/2*(SIN(RADIANS(B61))*COS(RADIANS(C61))+SIN(RADIANS(B62))*COS(RADIANS(C62)))*(IF(ACOS(MIN(1,MAX(-1,COS(RADIANS(B62-B61))-SIN(RADIANS(B61))*SIN(RADIANS(B62))*(1-COS(RADIANS(C62-C61))))))=0,1,2/(ACOS(MIN(1,MAX(-1,COS(RADIANS(B62-B61))-SIN(RADIANS(B61))*SIN(RADIANS(B62))*(1-COS(RADIANS(C62-C61)))))))*TAN((ACOS(MIN(1,MAX(-1,COS(RADIANS(B62-B61))-SIN(RADIANS(B61))*SIN(RADIANS(B62))*(1-COS(RADIANS(C62-C61)))))))/2)))</f>
        <v>-459.215415064496</v>
      </c>
      <c r="F62" s="24" t="n">
        <f aca="false">F61+(A62-A61)/2*(SIN(RADIANS(B61))*SIN(RADIANS(C61))+SIN(RADIANS(B62))*SIN(RADIANS(C62)))*(IF(ACOS(MIN(1,MAX(-1,COS(RADIANS(B62-B61))-SIN(RADIANS(B61))*SIN(RADIANS(B62))*(1-COS(RADIANS(C62-C61))))))=0,1,2/(ACOS(MIN(1,MAX(-1,COS(RADIANS(B62-B61))-SIN(RADIANS(B61))*SIN(RADIANS(B62))*(1-COS(RADIANS(C62-C61)))))))*TAN((ACOS(MIN(1,MAX(-1,COS(RADIANS(B62-B61))-SIN(RADIANS(B61))*SIN(RADIANS(B62))*(1-COS(RADIANS(C62-C61)))))))/2)))</f>
        <v>344.994358519463</v>
      </c>
      <c r="G62" s="24" t="n">
        <f aca="false">IF(H62=0,0,DEGREES(ACOS(MIN(1,MAX(-1,COS(RADIANS(B62-B61))-SIN(RADIANS(B61))*SIN(RADIANS(B62))*(1-COS(RADIANS(C62-C61)))))))*100/H62)</f>
        <v>0.205141735687203</v>
      </c>
      <c r="H62" s="24" t="n">
        <f aca="false">A62-A61</f>
        <v>93</v>
      </c>
      <c r="I62" s="24" t="n">
        <f aca="false">J62*COS(RADIANS(K62-Well_Data!$B$68))</f>
        <v>574.295670927965</v>
      </c>
      <c r="J62" s="24" t="n">
        <f aca="false">SQRT(E62^2+F62^2)</f>
        <v>574.369136394978</v>
      </c>
      <c r="K62" s="24" t="n">
        <f aca="false">IF(J62=0,0,MOD(DEGREES(ATAN2(E62,F62)),360))</f>
        <v>143.083593135423</v>
      </c>
    </row>
    <row r="63" customFormat="false" ht="15" hidden="false" customHeight="true" outlineLevel="0" collapsed="false">
      <c r="A63" s="20" t="n">
        <v>3772</v>
      </c>
      <c r="B63" s="20" t="n">
        <v>34.94</v>
      </c>
      <c r="C63" s="20" t="n">
        <v>143.58</v>
      </c>
      <c r="D63" s="24" t="n">
        <f aca="false">D62+(A63-A62)/2*(COS(RADIANS(B62))+COS(RADIANS(B63)))*(IF(ACOS(MIN(1,MAX(-1,COS(RADIANS(B63-B62))-SIN(RADIANS(B62))*SIN(RADIANS(B63))*(1-COS(RADIANS(C63-C62))))))=0,1,2/(ACOS(MIN(1,MAX(-1,COS(RADIANS(B63-B62))-SIN(RADIANS(B62))*SIN(RADIANS(B63))*(1-COS(RADIANS(C63-C62)))))))*TAN((ACOS(MIN(1,MAX(-1,COS(RADIANS(B63-B62))-SIN(RADIANS(B62))*SIN(RADIANS(B63))*(1-COS(RADIANS(C63-C62)))))))/2)))</f>
        <v>3619.39525821116</v>
      </c>
      <c r="E63" s="24" t="n">
        <f aca="false">E62+(A63-A62)/2*(SIN(RADIANS(B62))*COS(RADIANS(C62))+SIN(RADIANS(B63))*COS(RADIANS(C63)))*(IF(ACOS(MIN(1,MAX(-1,COS(RADIANS(B63-B62))-SIN(RADIANS(B62))*SIN(RADIANS(B63))*(1-COS(RADIANS(C63-C62))))))=0,1,2/(ACOS(MIN(1,MAX(-1,COS(RADIANS(B63-B62))-SIN(RADIANS(B62))*SIN(RADIANS(B63))*(1-COS(RADIANS(C63-C62)))))))*TAN((ACOS(MIN(1,MAX(-1,COS(RADIANS(B63-B62))-SIN(RADIANS(B62))*SIN(RADIANS(B63))*(1-COS(RADIANS(C63-C62)))))))/2)))</f>
        <v>-502.099782500417</v>
      </c>
      <c r="F63" s="24" t="n">
        <f aca="false">F62+(A63-A62)/2*(SIN(RADIANS(B62))*SIN(RADIANS(C62))+SIN(RADIANS(B63))*SIN(RADIANS(C63)))*(IF(ACOS(MIN(1,MAX(-1,COS(RADIANS(B63-B62))-SIN(RADIANS(B62))*SIN(RADIANS(B63))*(1-COS(RADIANS(C63-C62))))))=0,1,2/(ACOS(MIN(1,MAX(-1,COS(RADIANS(B63-B62))-SIN(RADIANS(B62))*SIN(RADIANS(B63))*(1-COS(RADIANS(C63-C62)))))))*TAN((ACOS(MIN(1,MAX(-1,COS(RADIANS(B63-B62))-SIN(RADIANS(B62))*SIN(RADIANS(B63))*(1-COS(RADIANS(C63-C62)))))))/2)))</f>
        <v>376.605657597626</v>
      </c>
      <c r="G63" s="24" t="n">
        <f aca="false">IF(H63=0,0,DEGREES(ACOS(MIN(1,MAX(-1,COS(RADIANS(B63-B62))-SIN(RADIANS(B62))*SIN(RADIANS(B63))*(1-COS(RADIANS(C63-C62)))))))*100/H63)</f>
        <v>0.037564070788293</v>
      </c>
      <c r="H63" s="24" t="n">
        <f aca="false">A63-A62</f>
        <v>93</v>
      </c>
      <c r="I63" s="24" t="n">
        <f aca="false">J63*COS(RADIANS(K63-Well_Data!$B$68))</f>
        <v>627.570508380596</v>
      </c>
      <c r="J63" s="24" t="n">
        <f aca="false">SQRT(E63^2+F63^2)</f>
        <v>627.643221043219</v>
      </c>
      <c r="K63" s="24" t="n">
        <f aca="false">IF(J63=0,0,MOD(DEGREES(ATAN2(E63,F63)),360))</f>
        <v>143.127851524702</v>
      </c>
    </row>
    <row r="64" customFormat="false" ht="15" hidden="false" customHeight="true" outlineLevel="0" collapsed="false">
      <c r="A64" s="20" t="n">
        <v>3865</v>
      </c>
      <c r="B64" s="20" t="n">
        <v>34.93</v>
      </c>
      <c r="C64" s="20" t="n">
        <v>143.72</v>
      </c>
      <c r="D64" s="24" t="n">
        <f aca="false">D63+(A64-A63)/2*(COS(RADIANS(B63))+COS(RADIANS(B64)))*(IF(ACOS(MIN(1,MAX(-1,COS(RADIANS(B64-B63))-SIN(RADIANS(B63))*SIN(RADIANS(B64))*(1-COS(RADIANS(C64-C63))))))=0,1,2/(ACOS(MIN(1,MAX(-1,COS(RADIANS(B64-B63))-SIN(RADIANS(B63))*SIN(RADIANS(B64))*(1-COS(RADIANS(C64-C63)))))))*TAN((ACOS(MIN(1,MAX(-1,COS(RADIANS(B64-B63))-SIN(RADIANS(B63))*SIN(RADIANS(B64))*(1-COS(RADIANS(C64-C63)))))))/2)))</f>
        <v>3695.63687690652</v>
      </c>
      <c r="E64" s="24" t="n">
        <f aca="false">E63+(A64-A63)/2*(SIN(RADIANS(B63))*COS(RADIANS(C63))+SIN(RADIANS(B64))*COS(RADIANS(C64)))*(IF(ACOS(MIN(1,MAX(-1,COS(RADIANS(B64-B63))-SIN(RADIANS(B63))*SIN(RADIANS(B64))*(1-COS(RADIANS(C64-C63))))))=0,1,2/(ACOS(MIN(1,MAX(-1,COS(RADIANS(B64-B63))-SIN(RADIANS(B63))*SIN(RADIANS(B64))*(1-COS(RADIANS(C64-C63)))))))*TAN((ACOS(MIN(1,MAX(-1,COS(RADIANS(B64-B63))-SIN(RADIANS(B63))*SIN(RADIANS(B64))*(1-COS(RADIANS(C64-C63)))))))/2)))</f>
        <v>-544.992859700629</v>
      </c>
      <c r="F64" s="24" t="n">
        <f aca="false">F63+(A64-A63)/2*(SIN(RADIANS(B63))*SIN(RADIANS(C63))+SIN(RADIANS(B64))*SIN(RADIANS(C64)))*(IF(ACOS(MIN(1,MAX(-1,COS(RADIANS(B64-B63))-SIN(RADIANS(B63))*SIN(RADIANS(B64))*(1-COS(RADIANS(C64-C63))))))=0,1,2/(ACOS(MIN(1,MAX(-1,COS(RADIANS(B64-B63))-SIN(RADIANS(B63))*SIN(RADIANS(B64))*(1-COS(RADIANS(C64-C63)))))))*TAN((ACOS(MIN(1,MAX(-1,COS(RADIANS(B64-B63))-SIN(RADIANS(B63))*SIN(RADIANS(B64))*(1-COS(RADIANS(C64-C63)))))))/2)))</f>
        <v>408.171431371088</v>
      </c>
      <c r="G64" s="24" t="n">
        <f aca="false">IF(H64=0,0,DEGREES(ACOS(MIN(1,MAX(-1,COS(RADIANS(B64-B63))-SIN(RADIANS(B63))*SIN(RADIANS(B64))*(1-COS(RADIANS(C64-C63)))))))*100/H64)</f>
        <v>0.0868728998773575</v>
      </c>
      <c r="H64" s="24" t="n">
        <f aca="false">A64-A63</f>
        <v>93</v>
      </c>
      <c r="I64" s="24" t="n">
        <f aca="false">J64*COS(RADIANS(K64-Well_Data!$B$68))</f>
        <v>680.825633077845</v>
      </c>
      <c r="J64" s="24" t="n">
        <f aca="false">SQRT(E64^2+F64^2)</f>
        <v>680.897301002282</v>
      </c>
      <c r="K64" s="24" t="n">
        <f aca="false">IF(J64=0,0,MOD(DEGREES(ATAN2(E64,F64)),360))</f>
        <v>143.168689919436</v>
      </c>
    </row>
    <row r="65" customFormat="false" ht="15" hidden="false" customHeight="true" outlineLevel="0" collapsed="false">
      <c r="A65" s="20" t="n">
        <v>3958</v>
      </c>
      <c r="B65" s="20" t="n">
        <v>35.22</v>
      </c>
      <c r="C65" s="20" t="n">
        <v>143.31</v>
      </c>
      <c r="D65" s="24" t="n">
        <f aca="false">D64+(A65-A64)/2*(COS(RADIANS(B64))+COS(RADIANS(B65)))*(IF(ACOS(MIN(1,MAX(-1,COS(RADIANS(B65-B64))-SIN(RADIANS(B64))*SIN(RADIANS(B65))*(1-COS(RADIANS(C65-C64))))))=0,1,2/(ACOS(MIN(1,MAX(-1,COS(RADIANS(B65-B64))-SIN(RADIANS(B64))*SIN(RADIANS(B65))*(1-COS(RADIANS(C65-C64)))))))*TAN((ACOS(MIN(1,MAX(-1,COS(RADIANS(B65-B64))-SIN(RADIANS(B64))*SIN(RADIANS(B65))*(1-COS(RADIANS(C65-C64)))))))/2)))</f>
        <v>3771.7481524711</v>
      </c>
      <c r="E65" s="24" t="n">
        <f aca="false">E64+(A65-A64)/2*(SIN(RADIANS(B64))*COS(RADIANS(C64))+SIN(RADIANS(B65))*COS(RADIANS(C65)))*(IF(ACOS(MIN(1,MAX(-1,COS(RADIANS(B65-B64))-SIN(RADIANS(B64))*SIN(RADIANS(B65))*(1-COS(RADIANS(C65-C64))))))=0,1,2/(ACOS(MIN(1,MAX(-1,COS(RADIANS(B65-B64))-SIN(RADIANS(B64))*SIN(RADIANS(B65))*(1-COS(RADIANS(C65-C64)))))))*TAN((ACOS(MIN(1,MAX(-1,COS(RADIANS(B65-B64))-SIN(RADIANS(B64))*SIN(RADIANS(B65))*(1-COS(RADIANS(C65-C64)))))))/2)))</f>
        <v>-587.960456773897</v>
      </c>
      <c r="F65" s="24" t="n">
        <f aca="false">F64+(A65-A64)/2*(SIN(RADIANS(B64))*SIN(RADIANS(C64))+SIN(RADIANS(B65))*SIN(RADIANS(C65)))*(IF(ACOS(MIN(1,MAX(-1,COS(RADIANS(B65-B64))-SIN(RADIANS(B64))*SIN(RADIANS(B65))*(1-COS(RADIANS(C65-C64))))))=0,1,2/(ACOS(MIN(1,MAX(-1,COS(RADIANS(B65-B64))-SIN(RADIANS(B64))*SIN(RADIANS(B65))*(1-COS(RADIANS(C65-C64)))))))*TAN((ACOS(MIN(1,MAX(-1,COS(RADIANS(B65-B64))-SIN(RADIANS(B64))*SIN(RADIANS(B65))*(1-COS(RADIANS(C65-C64)))))))/2)))</f>
        <v>439.949233090725</v>
      </c>
      <c r="G65" s="24" t="n">
        <f aca="false">IF(H65=0,0,DEGREES(ACOS(MIN(1,MAX(-1,COS(RADIANS(B65-B64))-SIN(RADIANS(B64))*SIN(RADIANS(B65))*(1-COS(RADIANS(C65-C64)))))))*100/H65)</f>
        <v>0.401766649023187</v>
      </c>
      <c r="H65" s="24" t="n">
        <f aca="false">A65-A64</f>
        <v>93</v>
      </c>
      <c r="I65" s="24" t="n">
        <f aca="false">J65*COS(RADIANS(K65-Well_Data!$B$68))</f>
        <v>734.265672518651</v>
      </c>
      <c r="J65" s="24" t="n">
        <f aca="false">SQRT(E65^2+F65^2)</f>
        <v>734.338359631911</v>
      </c>
      <c r="K65" s="24" t="n">
        <f aca="false">IF(J65=0,0,MOD(DEGREES(ATAN2(E65,F65)),360))</f>
        <v>143.193838941498</v>
      </c>
    </row>
    <row r="66" customFormat="false" ht="15" hidden="false" customHeight="true" outlineLevel="0" collapsed="false">
      <c r="A66" s="20" t="n">
        <v>4051</v>
      </c>
      <c r="B66" s="20" t="n">
        <v>34.82</v>
      </c>
      <c r="C66" s="20" t="n">
        <v>143.8</v>
      </c>
      <c r="D66" s="24" t="n">
        <f aca="false">D65+(A66-A65)/2*(COS(RADIANS(B65))+COS(RADIANS(B66)))*(IF(ACOS(MIN(1,MAX(-1,COS(RADIANS(B66-B65))-SIN(RADIANS(B65))*SIN(RADIANS(B66))*(1-COS(RADIANS(C66-C65))))))=0,1,2/(ACOS(MIN(1,MAX(-1,COS(RADIANS(B66-B65))-SIN(RADIANS(B65))*SIN(RADIANS(B66))*(1-COS(RADIANS(C66-C65)))))))*TAN((ACOS(MIN(1,MAX(-1,COS(RADIANS(B66-B65))-SIN(RADIANS(B65))*SIN(RADIANS(B66))*(1-COS(RADIANS(C66-C65)))))))/2)))</f>
        <v>3847.9106660626</v>
      </c>
      <c r="E66" s="24" t="n">
        <f aca="false">E65+(A66-A65)/2*(SIN(RADIANS(B65))*COS(RADIANS(C65))+SIN(RADIANS(B66))*COS(RADIANS(C66)))*(IF(ACOS(MIN(1,MAX(-1,COS(RADIANS(B66-B65))-SIN(RADIANS(B65))*SIN(RADIANS(B66))*(1-COS(RADIANS(C66-C65))))))=0,1,2/(ACOS(MIN(1,MAX(-1,COS(RADIANS(B66-B65))-SIN(RADIANS(B65))*SIN(RADIANS(B66))*(1-COS(RADIANS(C66-C65)))))))*TAN((ACOS(MIN(1,MAX(-1,COS(RADIANS(B66-B65))-SIN(RADIANS(B65))*SIN(RADIANS(B66))*(1-COS(RADIANS(C66-C65)))))))/2)))</f>
        <v>-630.891036988372</v>
      </c>
      <c r="F66" s="24" t="n">
        <f aca="false">F65+(A66-A65)/2*(SIN(RADIANS(B65))*SIN(RADIANS(C65))+SIN(RADIANS(B66))*SIN(RADIANS(C66)))*(IF(ACOS(MIN(1,MAX(-1,COS(RADIANS(B66-B65))-SIN(RADIANS(B65))*SIN(RADIANS(B66))*(1-COS(RADIANS(C66-C65))))))=0,1,2/(ACOS(MIN(1,MAX(-1,COS(RADIANS(B66-B65))-SIN(RADIANS(B65))*SIN(RADIANS(B66))*(1-COS(RADIANS(C66-C65)))))))*TAN((ACOS(MIN(1,MAX(-1,COS(RADIANS(B66-B65))-SIN(RADIANS(B65))*SIN(RADIANS(B66))*(1-COS(RADIANS(C66-C65)))))))/2)))</f>
        <v>471.653874993774</v>
      </c>
      <c r="G66" s="24" t="n">
        <f aca="false">IF(H66=0,0,DEGREES(ACOS(MIN(1,MAX(-1,COS(RADIANS(B66-B65))-SIN(RADIANS(B65))*SIN(RADIANS(B66))*(1-COS(RADIANS(C66-C65)))))))*100/H66)</f>
        <v>0.525746683529513</v>
      </c>
      <c r="H66" s="24" t="n">
        <f aca="false">A66-A65</f>
        <v>93</v>
      </c>
      <c r="I66" s="24" t="n">
        <f aca="false">J66*COS(RADIANS(K66-Well_Data!$B$68))</f>
        <v>787.632762430364</v>
      </c>
      <c r="J66" s="24" t="n">
        <f aca="false">SQRT(E66^2+F66^2)</f>
        <v>787.706086271336</v>
      </c>
      <c r="K66" s="24" t="n">
        <f aca="false">IF(J66=0,0,MOD(DEGREES(ATAN2(E66,F66)),360))</f>
        <v>143.218225497178</v>
      </c>
    </row>
    <row r="67" customFormat="false" ht="15" hidden="false" customHeight="true" outlineLevel="0" collapsed="false">
      <c r="A67" s="20" t="n">
        <v>4144</v>
      </c>
      <c r="B67" s="20" t="n">
        <v>34.95</v>
      </c>
      <c r="C67" s="20" t="n">
        <v>143.56</v>
      </c>
      <c r="D67" s="24" t="n">
        <f aca="false">D66+(A67-A66)/2*(COS(RADIANS(B66))+COS(RADIANS(B67)))*(IF(ACOS(MIN(1,MAX(-1,COS(RADIANS(B67-B66))-SIN(RADIANS(B66))*SIN(RADIANS(B67))*(1-COS(RADIANS(C67-C66))))))=0,1,2/(ACOS(MIN(1,MAX(-1,COS(RADIANS(B67-B66))-SIN(RADIANS(B66))*SIN(RADIANS(B67))*(1-COS(RADIANS(C67-C66)))))))*TAN((ACOS(MIN(1,MAX(-1,COS(RADIANS(B67-B66))-SIN(RADIANS(B66))*SIN(RADIANS(B67))*(1-COS(RADIANS(C67-C66)))))))/2)))</f>
        <v>3924.19873825984</v>
      </c>
      <c r="E67" s="24" t="n">
        <f aca="false">E66+(A67-A66)/2*(SIN(RADIANS(B66))*COS(RADIANS(C66))+SIN(RADIANS(B67))*COS(RADIANS(C67)))*(IF(ACOS(MIN(1,MAX(-1,COS(RADIANS(B67-B66))-SIN(RADIANS(B66))*SIN(RADIANS(B67))*(1-COS(RADIANS(C67-C66))))))=0,1,2/(ACOS(MIN(1,MAX(-1,COS(RADIANS(B67-B66))-SIN(RADIANS(B66))*SIN(RADIANS(B67))*(1-COS(RADIANS(C67-C66)))))))*TAN((ACOS(MIN(1,MAX(-1,COS(RADIANS(B67-B66))-SIN(RADIANS(B66))*SIN(RADIANS(B67))*(1-COS(RADIANS(C67-C66)))))))/2)))</f>
        <v>-673.74685226087</v>
      </c>
      <c r="F67" s="24" t="n">
        <f aca="false">F66+(A67-A66)/2*(SIN(RADIANS(B66))*SIN(RADIANS(C66))+SIN(RADIANS(B67))*SIN(RADIANS(C67)))*(IF(ACOS(MIN(1,MAX(-1,COS(RADIANS(B67-B66))-SIN(RADIANS(B66))*SIN(RADIANS(B67))*(1-COS(RADIANS(C67-C66))))))=0,1,2/(ACOS(MIN(1,MAX(-1,COS(RADIANS(B67-B66))-SIN(RADIANS(B66))*SIN(RADIANS(B67))*(1-COS(RADIANS(C67-C66)))))))*TAN((ACOS(MIN(1,MAX(-1,COS(RADIANS(B67-B66))-SIN(RADIANS(B66))*SIN(RADIANS(B67))*(1-COS(RADIANS(C67-C66)))))))/2)))</f>
        <v>503.157863482168</v>
      </c>
      <c r="G67" s="24" t="n">
        <f aca="false">IF(H67=0,0,DEGREES(ACOS(MIN(1,MAX(-1,COS(RADIANS(B67-B66))-SIN(RADIANS(B66))*SIN(RADIANS(B67))*(1-COS(RADIANS(C67-C66)))))))*100/H67)</f>
        <v>0.203283215957803</v>
      </c>
      <c r="H67" s="24" t="n">
        <f aca="false">A67-A66</f>
        <v>93</v>
      </c>
      <c r="I67" s="24" t="n">
        <f aca="false">J67*COS(RADIANS(K67-Well_Data!$B$68))</f>
        <v>840.821425115479</v>
      </c>
      <c r="J67" s="24" t="n">
        <f aca="false">SQRT(E67^2+F67^2)</f>
        <v>840.893962705983</v>
      </c>
      <c r="K67" s="24" t="n">
        <f aca="false">IF(J67=0,0,MOD(DEGREES(ATAN2(E67,F67)),360))</f>
        <v>143.247421689408</v>
      </c>
    </row>
    <row r="68" customFormat="false" ht="15" hidden="false" customHeight="true" outlineLevel="0" collapsed="false">
      <c r="A68" s="20" t="n">
        <v>4237</v>
      </c>
      <c r="B68" s="20" t="n">
        <v>35.2</v>
      </c>
      <c r="C68" s="20" t="n">
        <v>143.78</v>
      </c>
      <c r="D68" s="24" t="n">
        <f aca="false">D67+(A68-A67)/2*(COS(RADIANS(B67))+COS(RADIANS(B68)))*(IF(ACOS(MIN(1,MAX(-1,COS(RADIANS(B68-B67))-SIN(RADIANS(B67))*SIN(RADIANS(B68))*(1-COS(RADIANS(C68-C67))))))=0,1,2/(ACOS(MIN(1,MAX(-1,COS(RADIANS(B68-B67))-SIN(RADIANS(B67))*SIN(RADIANS(B68))*(1-COS(RADIANS(C68-C67)))))))*TAN((ACOS(MIN(1,MAX(-1,COS(RADIANS(B68-B67))-SIN(RADIANS(B67))*SIN(RADIANS(B68))*(1-COS(RADIANS(C68-C67)))))))/2)))</f>
        <v>4000.30995832235</v>
      </c>
      <c r="E68" s="24" t="n">
        <f aca="false">E67+(A68-A67)/2*(SIN(RADIANS(B67))*COS(RADIANS(C67))+SIN(RADIANS(B68))*COS(RADIANS(C68)))*(IF(ACOS(MIN(1,MAX(-1,COS(RADIANS(B68-B67))-SIN(RADIANS(B67))*SIN(RADIANS(B68))*(1-COS(RADIANS(C68-C67))))))=0,1,2/(ACOS(MIN(1,MAX(-1,COS(RADIANS(B68-B67))-SIN(RADIANS(B67))*SIN(RADIANS(B68))*(1-COS(RADIANS(C68-C67)))))))*TAN((ACOS(MIN(1,MAX(-1,COS(RADIANS(B68-B67))-SIN(RADIANS(B67))*SIN(RADIANS(B68))*(1-COS(RADIANS(C68-C67)))))))/2)))</f>
        <v>-716.801021216624</v>
      </c>
      <c r="F68" s="24" t="n">
        <f aca="false">F67+(A68-A67)/2*(SIN(RADIANS(B67))*SIN(RADIANS(C67))+SIN(RADIANS(B68))*SIN(RADIANS(C68)))*(IF(ACOS(MIN(1,MAX(-1,COS(RADIANS(B68-B67))-SIN(RADIANS(B67))*SIN(RADIANS(B68))*(1-COS(RADIANS(C68-C67))))))=0,1,2/(ACOS(MIN(1,MAX(-1,COS(RADIANS(B68-B67))-SIN(RADIANS(B67))*SIN(RADIANS(B68))*(1-COS(RADIANS(C68-C67)))))))*TAN((ACOS(MIN(1,MAX(-1,COS(RADIANS(B68-B67))-SIN(RADIANS(B67))*SIN(RADIANS(B68))*(1-COS(RADIANS(C68-C67)))))))/2)))</f>
        <v>534.818619712468</v>
      </c>
      <c r="G68" s="24" t="n">
        <f aca="false">IF(H68=0,0,DEGREES(ACOS(MIN(1,MAX(-1,COS(RADIANS(B68-B67))-SIN(RADIANS(B67))*SIN(RADIANS(B68))*(1-COS(RADIANS(C68-C67)))))))*100/H68)</f>
        <v>0.301233604052804</v>
      </c>
      <c r="H68" s="24" t="n">
        <f aca="false">A68-A67</f>
        <v>93</v>
      </c>
      <c r="I68" s="24" t="n">
        <f aca="false">J68*COS(RADIANS(K68-Well_Data!$B$68))</f>
        <v>894.262705067971</v>
      </c>
      <c r="J68" s="24" t="n">
        <f aca="false">SQRT(E68^2+F68^2)</f>
        <v>894.334758358605</v>
      </c>
      <c r="K68" s="24" t="n">
        <f aca="false">IF(J68=0,0,MOD(DEGREES(ATAN2(E68,F68)),360))</f>
        <v>143.272693613911</v>
      </c>
    </row>
    <row r="69" customFormat="false" ht="15" hidden="false" customHeight="true" outlineLevel="0" collapsed="false">
      <c r="A69" s="20" t="n">
        <v>4330</v>
      </c>
      <c r="B69" s="20" t="n">
        <v>34.95</v>
      </c>
      <c r="C69" s="20" t="n">
        <v>143.62</v>
      </c>
      <c r="D69" s="24" t="n">
        <f aca="false">D68+(A69-A68)/2*(COS(RADIANS(B68))+COS(RADIANS(B69)))*(IF(ACOS(MIN(1,MAX(-1,COS(RADIANS(B69-B68))-SIN(RADIANS(B68))*SIN(RADIANS(B69))*(1-COS(RADIANS(C69-C68))))))=0,1,2/(ACOS(MIN(1,MAX(-1,COS(RADIANS(B69-B68))-SIN(RADIANS(B68))*SIN(RADIANS(B69))*(1-COS(RADIANS(C69-C68)))))))*TAN((ACOS(MIN(1,MAX(-1,COS(RADIANS(B69-B68))-SIN(RADIANS(B68))*SIN(RADIANS(B69))*(1-COS(RADIANS(C69-C68)))))))/2)))</f>
        <v>4076.42116383841</v>
      </c>
      <c r="E69" s="24" t="n">
        <f aca="false">E68+(A69-A68)/2*(SIN(RADIANS(B68))*COS(RADIANS(C68))+SIN(RADIANS(B69))*COS(RADIANS(C69)))*(IF(ACOS(MIN(1,MAX(-1,COS(RADIANS(B69-B68))-SIN(RADIANS(B68))*SIN(RADIANS(B69))*(1-COS(RADIANS(C69-C68))))))=0,1,2/(ACOS(MIN(1,MAX(-1,COS(RADIANS(B69-B68))-SIN(RADIANS(B68))*SIN(RADIANS(B69))*(1-COS(RADIANS(C69-C68)))))))*TAN((ACOS(MIN(1,MAX(-1,COS(RADIANS(B69-B68))-SIN(RADIANS(B68))*SIN(RADIANS(B69))*(1-COS(RADIANS(C69-C68)))))))/2)))</f>
        <v>-759.871739492076</v>
      </c>
      <c r="F69" s="24" t="n">
        <f aca="false">F68+(A69-A68)/2*(SIN(RADIANS(B68))*SIN(RADIANS(C68))+SIN(RADIANS(B69))*SIN(RADIANS(C69)))*(IF(ACOS(MIN(1,MAX(-1,COS(RADIANS(B69-B68))-SIN(RADIANS(B68))*SIN(RADIANS(B69))*(1-COS(RADIANS(C69-C68))))))=0,1,2/(ACOS(MIN(1,MAX(-1,COS(RADIANS(B69-B68))-SIN(RADIANS(B68))*SIN(RADIANS(B69))*(1-COS(RADIANS(C69-C68)))))))*TAN((ACOS(MIN(1,MAX(-1,COS(RADIANS(B69-B68))-SIN(RADIANS(B68))*SIN(RADIANS(B69))*(1-COS(RADIANS(C69-C68)))))))/2)))</f>
        <v>566.456919984043</v>
      </c>
      <c r="G69" s="24" t="n">
        <f aca="false">IF(H69=0,0,DEGREES(ACOS(MIN(1,MAX(-1,COS(RADIANS(B69-B68))-SIN(RADIANS(B68))*SIN(RADIANS(B69))*(1-COS(RADIANS(C69-C68)))))))*100/H69)</f>
        <v>0.28642050719077</v>
      </c>
      <c r="H69" s="24" t="n">
        <f aca="false">A69-A68</f>
        <v>93</v>
      </c>
      <c r="I69" s="24" t="n">
        <f aca="false">J69*COS(RADIANS(K69-Well_Data!$B$68))</f>
        <v>947.70417441998</v>
      </c>
      <c r="J69" s="24" t="n">
        <f aca="false">SQRT(E69^2+F69^2)</f>
        <v>947.775555011059</v>
      </c>
      <c r="K69" s="24" t="n">
        <f aca="false">IF(J69=0,0,MOD(DEGREES(ATAN2(E69,F69)),360))</f>
        <v>143.296801923173</v>
      </c>
    </row>
    <row r="70" customFormat="false" ht="15" hidden="false" customHeight="true" outlineLevel="0" collapsed="false">
      <c r="A70" s="20" t="n">
        <v>4423</v>
      </c>
      <c r="B70" s="20" t="n">
        <v>35.16</v>
      </c>
      <c r="C70" s="20" t="n">
        <v>143.68</v>
      </c>
      <c r="D70" s="24" t="n">
        <f aca="false">D69+(A70-A69)/2*(COS(RADIANS(B69))+COS(RADIANS(B70)))*(IF(ACOS(MIN(1,MAX(-1,COS(RADIANS(B70-B69))-SIN(RADIANS(B69))*SIN(RADIANS(B70))*(1-COS(RADIANS(C70-C69))))))=0,1,2/(ACOS(MIN(1,MAX(-1,COS(RADIANS(B70-B69))-SIN(RADIANS(B69))*SIN(RADIANS(B70))*(1-COS(RADIANS(C70-C69)))))))*TAN((ACOS(MIN(1,MAX(-1,COS(RADIANS(B70-B69))-SIN(RADIANS(B69))*SIN(RADIANS(B70))*(1-COS(RADIANS(C70-C69)))))))/2)))</f>
        <v>4152.55102332017</v>
      </c>
      <c r="E70" s="24" t="n">
        <f aca="false">E69+(A70-A69)/2*(SIN(RADIANS(B69))*COS(RADIANS(C69))+SIN(RADIANS(B70))*COS(RADIANS(C70)))*(IF(ACOS(MIN(1,MAX(-1,COS(RADIANS(B70-B69))-SIN(RADIANS(B69))*SIN(RADIANS(B70))*(1-COS(RADIANS(C70-C69))))))=0,1,2/(ACOS(MIN(1,MAX(-1,COS(RADIANS(B70-B69))-SIN(RADIANS(B69))*SIN(RADIANS(B70))*(1-COS(RADIANS(C70-C69)))))))*TAN((ACOS(MIN(1,MAX(-1,COS(RADIANS(B70-B69))-SIN(RADIANS(B69))*SIN(RADIANS(B70))*(1-COS(RADIANS(C70-C69)))))))/2)))</f>
        <v>-802.893375147554</v>
      </c>
      <c r="F70" s="24" t="n">
        <f aca="false">F69+(A70-A69)/2*(SIN(RADIANS(B69))*SIN(RADIANS(C69))+SIN(RADIANS(B70))*SIN(RADIANS(C70)))*(IF(ACOS(MIN(1,MAX(-1,COS(RADIANS(B70-B69))-SIN(RADIANS(B69))*SIN(RADIANS(B70))*(1-COS(RADIANS(C70-C69))))))=0,1,2/(ACOS(MIN(1,MAX(-1,COS(RADIANS(B70-B69))-SIN(RADIANS(B69))*SIN(RADIANS(B70))*(1-COS(RADIANS(C70-C69)))))))*TAN((ACOS(MIN(1,MAX(-1,COS(RADIANS(B70-B69))-SIN(RADIANS(B69))*SIN(RADIANS(B70))*(1-COS(RADIANS(C70-C69)))))))/2)))</f>
        <v>598.117201375564</v>
      </c>
      <c r="G70" s="24" t="n">
        <f aca="false">IF(H70=0,0,DEGREES(ACOS(MIN(1,MAX(-1,COS(RADIANS(B70-B69))-SIN(RADIANS(B69))*SIN(RADIANS(B70))*(1-COS(RADIANS(C70-C69)))))))*100/H70)</f>
        <v>0.228826710518542</v>
      </c>
      <c r="H70" s="24" t="n">
        <f aca="false">A70-A69</f>
        <v>93</v>
      </c>
      <c r="I70" s="24" t="n">
        <f aca="false">J70*COS(RADIANS(K70-Well_Data!$B$68))</f>
        <v>1001.11885527644</v>
      </c>
      <c r="J70" s="24" t="n">
        <f aca="false">SQRT(E70^2+F70^2)</f>
        <v>1001.19027084624</v>
      </c>
      <c r="K70" s="24" t="n">
        <f aca="false">IF(J70=0,0,MOD(DEGREES(ATAN2(E70,F70)),360))</f>
        <v>143.315649869644</v>
      </c>
    </row>
    <row r="71" customFormat="false" ht="15" hidden="false" customHeight="true" outlineLevel="0" collapsed="false">
      <c r="A71" s="20" t="n">
        <v>4516</v>
      </c>
      <c r="B71" s="20" t="n">
        <v>34.75</v>
      </c>
      <c r="C71" s="20" t="n">
        <v>143.59</v>
      </c>
      <c r="D71" s="24" t="n">
        <f aca="false">D70+(A71-A70)/2*(COS(RADIANS(B70))+COS(RADIANS(B71)))*(IF(ACOS(MIN(1,MAX(-1,COS(RADIANS(B71-B70))-SIN(RADIANS(B70))*SIN(RADIANS(B71))*(1-COS(RADIANS(C71-C70))))))=0,1,2/(ACOS(MIN(1,MAX(-1,COS(RADIANS(B71-B70))-SIN(RADIANS(B70))*SIN(RADIANS(B71))*(1-COS(RADIANS(C71-C70)))))))*TAN((ACOS(MIN(1,MAX(-1,COS(RADIANS(B71-B70))-SIN(RADIANS(B70))*SIN(RADIANS(B71))*(1-COS(RADIANS(C71-C70)))))))/2)))</f>
        <v>4228.7738776412</v>
      </c>
      <c r="E71" s="24" t="n">
        <f aca="false">E70+(A71-A70)/2*(SIN(RADIANS(B70))*COS(RADIANS(C70))+SIN(RADIANS(B71))*COS(RADIANS(C71)))*(IF(ACOS(MIN(1,MAX(-1,COS(RADIANS(B71-B70))-SIN(RADIANS(B70))*SIN(RADIANS(B71))*(1-COS(RADIANS(C71-C70))))))=0,1,2/(ACOS(MIN(1,MAX(-1,COS(RADIANS(B71-B70))-SIN(RADIANS(B70))*SIN(RADIANS(B71))*(1-COS(RADIANS(C71-C70)))))))*TAN((ACOS(MIN(1,MAX(-1,COS(RADIANS(B71-B70))-SIN(RADIANS(B70))*SIN(RADIANS(B71))*(1-COS(RADIANS(C71-C70)))))))/2)))</f>
        <v>-845.799669923552</v>
      </c>
      <c r="F71" s="24" t="n">
        <f aca="false">F70+(A71-A70)/2*(SIN(RADIANS(B70))*SIN(RADIANS(C70))+SIN(RADIANS(B71))*SIN(RADIANS(C71)))*(IF(ACOS(MIN(1,MAX(-1,COS(RADIANS(B71-B70))-SIN(RADIANS(B70))*SIN(RADIANS(B71))*(1-COS(RADIANS(C71-C70))))))=0,1,2/(ACOS(MIN(1,MAX(-1,COS(RADIANS(B71-B70))-SIN(RADIANS(B70))*SIN(RADIANS(B71))*(1-COS(RADIANS(C71-C70)))))))*TAN((ACOS(MIN(1,MAX(-1,COS(RADIANS(B71-B70))-SIN(RADIANS(B70))*SIN(RADIANS(B71))*(1-COS(RADIANS(C71-C70)))))))/2)))</f>
        <v>629.709745705141</v>
      </c>
      <c r="G71" s="24" t="n">
        <f aca="false">IF(H71=0,0,DEGREES(ACOS(MIN(1,MAX(-1,COS(RADIANS(B71-B70))-SIN(RADIANS(B70))*SIN(RADIANS(B71))*(1-COS(RADIANS(C71-C70)))))))*100/H71)</f>
        <v>0.44433297918102</v>
      </c>
      <c r="H71" s="24" t="n">
        <f aca="false">A71-A70</f>
        <v>93</v>
      </c>
      <c r="I71" s="24" t="n">
        <f aca="false">J71*COS(RADIANS(K71-Well_Data!$B$68))</f>
        <v>1054.4004085552</v>
      </c>
      <c r="J71" s="24" t="n">
        <f aca="false">SQRT(E71^2+F71^2)</f>
        <v>1054.47211697551</v>
      </c>
      <c r="K71" s="24" t="n">
        <f aca="false">IF(J71=0,0,MOD(DEGREES(ATAN2(E71,F71)),360))</f>
        <v>143.331798234229</v>
      </c>
    </row>
    <row r="72" customFormat="false" ht="15" hidden="false" customHeight="true" outlineLevel="0" collapsed="false">
      <c r="A72" s="20" t="n">
        <v>4609</v>
      </c>
      <c r="B72" s="20" t="n">
        <v>34.84</v>
      </c>
      <c r="C72" s="20" t="n">
        <v>143.63</v>
      </c>
      <c r="D72" s="24" t="n">
        <f aca="false">D71+(A72-A71)/2*(COS(RADIANS(B71))+COS(RADIANS(B72)))*(IF(ACOS(MIN(1,MAX(-1,COS(RADIANS(B72-B71))-SIN(RADIANS(B71))*SIN(RADIANS(B72))*(1-COS(RADIANS(C72-C71))))))=0,1,2/(ACOS(MIN(1,MAX(-1,COS(RADIANS(B72-B71))-SIN(RADIANS(B71))*SIN(RADIANS(B72))*(1-COS(RADIANS(C72-C71)))))))*TAN((ACOS(MIN(1,MAX(-1,COS(RADIANS(B72-B71))-SIN(RADIANS(B71))*SIN(RADIANS(B72))*(1-COS(RADIANS(C72-C71)))))))/2)))</f>
        <v>4305.14537874463</v>
      </c>
      <c r="E72" s="24" t="n">
        <f aca="false">E71+(A72-A71)/2*(SIN(RADIANS(B71))*COS(RADIANS(C71))+SIN(RADIANS(B72))*COS(RADIANS(C72)))*(IF(ACOS(MIN(1,MAX(-1,COS(RADIANS(B72-B71))-SIN(RADIANS(B71))*SIN(RADIANS(B72))*(1-COS(RADIANS(C72-C71))))))=0,1,2/(ACOS(MIN(1,MAX(-1,COS(RADIANS(B72-B71))-SIN(RADIANS(B71))*SIN(RADIANS(B72))*(1-COS(RADIANS(C72-C71)))))))*TAN((ACOS(MIN(1,MAX(-1,COS(RADIANS(B72-B71))-SIN(RADIANS(B71))*SIN(RADIANS(B72))*(1-COS(RADIANS(C72-C71)))))))/2)))</f>
        <v>-888.520641958545</v>
      </c>
      <c r="F72" s="24" t="n">
        <f aca="false">F71+(A72-A71)/2*(SIN(RADIANS(B71))*SIN(RADIANS(C71))+SIN(RADIANS(B72))*SIN(RADIANS(C72)))*(IF(ACOS(MIN(1,MAX(-1,COS(RADIANS(B72-B71))-SIN(RADIANS(B71))*SIN(RADIANS(B72))*(1-COS(RADIANS(C72-C71))))))=0,1,2/(ACOS(MIN(1,MAX(-1,COS(RADIANS(B72-B71))-SIN(RADIANS(B71))*SIN(RADIANS(B72))*(1-COS(RADIANS(C72-C71)))))))*TAN((ACOS(MIN(1,MAX(-1,COS(RADIANS(B72-B71))-SIN(RADIANS(B71))*SIN(RADIANS(B72))*(1-COS(RADIANS(C72-C71)))))))/2)))</f>
        <v>661.194829075302</v>
      </c>
      <c r="G72" s="24" t="n">
        <f aca="false">IF(H72=0,0,DEGREES(ACOS(MIN(1,MAX(-1,COS(RADIANS(B72-B71))-SIN(RADIANS(B71))*SIN(RADIANS(B72))*(1-COS(RADIANS(C72-C71)))))))*100/H72)</f>
        <v>0.0998380623746149</v>
      </c>
      <c r="H72" s="24" t="n">
        <f aca="false">A72-A71</f>
        <v>93</v>
      </c>
      <c r="I72" s="24" t="n">
        <f aca="false">J72*COS(RADIANS(K72-Well_Data!$B$68))</f>
        <v>1107.46886861991</v>
      </c>
      <c r="J72" s="24" t="n">
        <f aca="false">SQRT(E72^2+F72^2)</f>
        <v>1107.54121060227</v>
      </c>
      <c r="K72" s="24" t="n">
        <f aca="false">IF(J72=0,0,MOD(DEGREES(ATAN2(E72,F72)),360))</f>
        <v>143.345129767979</v>
      </c>
    </row>
    <row r="73" customFormat="false" ht="15" hidden="false" customHeight="true" outlineLevel="0" collapsed="false">
      <c r="A73" s="20" t="n">
        <v>4702</v>
      </c>
      <c r="B73" s="20" t="n">
        <v>34.67</v>
      </c>
      <c r="C73" s="20" t="n">
        <v>143.62</v>
      </c>
      <c r="D73" s="24" t="n">
        <f aca="false">D72+(A73-A72)/2*(COS(RADIANS(B72))+COS(RADIANS(B73)))*(IF(ACOS(MIN(1,MAX(-1,COS(RADIANS(B73-B72))-SIN(RADIANS(B72))*SIN(RADIANS(B73))*(1-COS(RADIANS(C73-C72))))))=0,1,2/(ACOS(MIN(1,MAX(-1,COS(RADIANS(B73-B72))-SIN(RADIANS(B72))*SIN(RADIANS(B73))*(1-COS(RADIANS(C73-C72)))))))*TAN((ACOS(MIN(1,MAX(-1,COS(RADIANS(B73-B72))-SIN(RADIANS(B72))*SIN(RADIANS(B73))*(1-COS(RADIANS(C73-C72)))))))/2)))</f>
        <v>4381.553889749</v>
      </c>
      <c r="E73" s="24" t="n">
        <f aca="false">E72+(A73-A72)/2*(SIN(RADIANS(B72))*COS(RADIANS(C72))+SIN(RADIANS(B73))*COS(RADIANS(C73)))*(IF(ACOS(MIN(1,MAX(-1,COS(RADIANS(B73-B72))-SIN(RADIANS(B72))*SIN(RADIANS(B73))*(1-COS(RADIANS(C73-C72))))))=0,1,2/(ACOS(MIN(1,MAX(-1,COS(RADIANS(B73-B72))-SIN(RADIANS(B72))*SIN(RADIANS(B73))*(1-COS(RADIANS(C73-C72)))))))*TAN((ACOS(MIN(1,MAX(-1,COS(RADIANS(B73-B72))-SIN(RADIANS(B72))*SIN(RADIANS(B73))*(1-COS(RADIANS(C73-C72)))))))/2)))</f>
        <v>-931.206900368462</v>
      </c>
      <c r="F73" s="24" t="n">
        <f aca="false">F72+(A73-A72)/2*(SIN(RADIANS(B72))*SIN(RADIANS(C72))+SIN(RADIANS(B73))*SIN(RADIANS(C73)))*(IF(ACOS(MIN(1,MAX(-1,COS(RADIANS(B73-B72))-SIN(RADIANS(B72))*SIN(RADIANS(B73))*(1-COS(RADIANS(C73-C72))))))=0,1,2/(ACOS(MIN(1,MAX(-1,COS(RADIANS(B73-B72))-SIN(RADIANS(B72))*SIN(RADIANS(B73))*(1-COS(RADIANS(C73-C72)))))))*TAN((ACOS(MIN(1,MAX(-1,COS(RADIANS(B73-B72))-SIN(RADIANS(B72))*SIN(RADIANS(B73))*(1-COS(RADIANS(C73-C72)))))))/2)))</f>
        <v>692.637100571527</v>
      </c>
      <c r="G73" s="24" t="n">
        <f aca="false">IF(H73=0,0,DEGREES(ACOS(MIN(1,MAX(-1,COS(RADIANS(B73-B72))-SIN(RADIANS(B72))*SIN(RADIANS(B73))*(1-COS(RADIANS(C73-C72)))))))*100/H73)</f>
        <v>0.18289844560979</v>
      </c>
      <c r="H73" s="24" t="n">
        <f aca="false">A73-A72</f>
        <v>93</v>
      </c>
      <c r="I73" s="24" t="n">
        <f aca="false">J73*COS(RADIANS(K73-Well_Data!$B$68))</f>
        <v>1160.48408058387</v>
      </c>
      <c r="J73" s="24" t="n">
        <f aca="false">SQRT(E73^2+F73^2)</f>
        <v>1160.55695438956</v>
      </c>
      <c r="K73" s="24" t="n">
        <f aca="false">IF(J73=0,0,MOD(DEGREES(ATAN2(E73,F73)),360))</f>
        <v>143.357915185603</v>
      </c>
    </row>
    <row r="74" customFormat="false" ht="15" hidden="false" customHeight="true" outlineLevel="0" collapsed="false">
      <c r="A74" s="20" t="n">
        <v>4795</v>
      </c>
      <c r="B74" s="20" t="n">
        <v>34.95</v>
      </c>
      <c r="C74" s="20" t="n">
        <v>143.88</v>
      </c>
      <c r="D74" s="24" t="n">
        <f aca="false">D73+(A74-A73)/2*(COS(RADIANS(B73))+COS(RADIANS(B74)))*(IF(ACOS(MIN(1,MAX(-1,COS(RADIANS(B74-B73))-SIN(RADIANS(B73))*SIN(RADIANS(B74))*(1-COS(RADIANS(C74-C73))))))=0,1,2/(ACOS(MIN(1,MAX(-1,COS(RADIANS(B74-B73))-SIN(RADIANS(B73))*SIN(RADIANS(B74))*(1-COS(RADIANS(C74-C73)))))))*TAN((ACOS(MIN(1,MAX(-1,COS(RADIANS(B74-B73))-SIN(RADIANS(B73))*SIN(RADIANS(B74))*(1-COS(RADIANS(C74-C73)))))))/2)))</f>
        <v>4457.91146817984</v>
      </c>
      <c r="E74" s="24" t="n">
        <f aca="false">E73+(A74-A73)/2*(SIN(RADIANS(B73))*COS(RADIANS(C73))+SIN(RADIANS(B74))*COS(RADIANS(C74)))*(IF(ACOS(MIN(1,MAX(-1,COS(RADIANS(B74-B73))-SIN(RADIANS(B73))*SIN(RADIANS(B74))*(1-COS(RADIANS(C74-C73))))))=0,1,2/(ACOS(MIN(1,MAX(-1,COS(RADIANS(B74-B73))-SIN(RADIANS(B73))*SIN(RADIANS(B74))*(1-COS(RADIANS(C74-C73)))))))*TAN((ACOS(MIN(1,MAX(-1,COS(RADIANS(B74-B73))-SIN(RADIANS(B73))*SIN(RADIANS(B74))*(1-COS(RADIANS(C74-C73)))))))/2)))</f>
        <v>-974.020915478109</v>
      </c>
      <c r="F74" s="24" t="n">
        <f aca="false">F73+(A74-A73)/2*(SIN(RADIANS(B73))*SIN(RADIANS(C73))+SIN(RADIANS(B74))*SIN(RADIANS(C74)))*(IF(ACOS(MIN(1,MAX(-1,COS(RADIANS(B74-B73))-SIN(RADIANS(B73))*SIN(RADIANS(B74))*(1-COS(RADIANS(C74-C73))))))=0,1,2/(ACOS(MIN(1,MAX(-1,COS(RADIANS(B74-B73))-SIN(RADIANS(B73))*SIN(RADIANS(B74))*(1-COS(RADIANS(C74-C73)))))))*TAN((ACOS(MIN(1,MAX(-1,COS(RADIANS(B74-B73))-SIN(RADIANS(B73))*SIN(RADIANS(B74))*(1-COS(RADIANS(C74-C73)))))))/2)))</f>
        <v>724.029110333674</v>
      </c>
      <c r="G74" s="24" t="n">
        <f aca="false">IF(H74=0,0,DEGREES(ACOS(MIN(1,MAX(-1,COS(RADIANS(B74-B73))-SIN(RADIANS(B73))*SIN(RADIANS(B74))*(1-COS(RADIANS(C74-C73)))))))*100/H74)</f>
        <v>0.340758409824182</v>
      </c>
      <c r="H74" s="24" t="n">
        <f aca="false">A74-A73</f>
        <v>93</v>
      </c>
      <c r="I74" s="24" t="n">
        <f aca="false">J74*COS(RADIANS(K74-Well_Data!$B$68))</f>
        <v>1213.57310678301</v>
      </c>
      <c r="J74" s="24" t="n">
        <f aca="false">SQRT(E74^2+F74^2)</f>
        <v>1213.64529266149</v>
      </c>
      <c r="K74" s="24" t="n">
        <f aca="false">IF(J74=0,0,MOD(DEGREES(ATAN2(E74,F74)),360))</f>
        <v>143.375086339995</v>
      </c>
    </row>
    <row r="75" customFormat="false" ht="15" hidden="false" customHeight="true" outlineLevel="0" collapsed="false">
      <c r="A75" s="20" t="n">
        <v>4888</v>
      </c>
      <c r="B75" s="20" t="n">
        <v>34.96</v>
      </c>
      <c r="C75" s="20" t="n">
        <v>143.97</v>
      </c>
      <c r="D75" s="24" t="n">
        <f aca="false">D74+(A75-A74)/2*(COS(RADIANS(B74))+COS(RADIANS(B75)))*(IF(ACOS(MIN(1,MAX(-1,COS(RADIANS(B75-B74))-SIN(RADIANS(B74))*SIN(RADIANS(B75))*(1-COS(RADIANS(C75-C74))))))=0,1,2/(ACOS(MIN(1,MAX(-1,COS(RADIANS(B75-B74))-SIN(RADIANS(B74))*SIN(RADIANS(B75))*(1-COS(RADIANS(C75-C74)))))))*TAN((ACOS(MIN(1,MAX(-1,COS(RADIANS(B75-B74))-SIN(RADIANS(B74))*SIN(RADIANS(B75))*(1-COS(RADIANS(C75-C74)))))))/2)))</f>
        <v>4534.1344850329</v>
      </c>
      <c r="E75" s="24" t="n">
        <f aca="false">E74+(A75-A74)/2*(SIN(RADIANS(B74))*COS(RADIANS(C74))+SIN(RADIANS(B75))*COS(RADIANS(C75)))*(IF(ACOS(MIN(1,MAX(-1,COS(RADIANS(B75-B74))-SIN(RADIANS(B74))*SIN(RADIANS(B75))*(1-COS(RADIANS(C75-C74))))))=0,1,2/(ACOS(MIN(1,MAX(-1,COS(RADIANS(B75-B74))-SIN(RADIANS(B74))*SIN(RADIANS(B75))*(1-COS(RADIANS(C75-C74)))))))*TAN((ACOS(MIN(1,MAX(-1,COS(RADIANS(B75-B74))-SIN(RADIANS(B74))*SIN(RADIANS(B75))*(1-COS(RADIANS(C75-C74)))))))/2)))</f>
        <v>-1017.08653299394</v>
      </c>
      <c r="F75" s="24" t="n">
        <f aca="false">F74+(A75-A74)/2*(SIN(RADIANS(B74))*SIN(RADIANS(C74))+SIN(RADIANS(B75))*SIN(RADIANS(C75)))*(IF(ACOS(MIN(1,MAX(-1,COS(RADIANS(B75-B74))-SIN(RADIANS(B74))*SIN(RADIANS(B75))*(1-COS(RADIANS(C75-C74))))))=0,1,2/(ACOS(MIN(1,MAX(-1,COS(RADIANS(B75-B74))-SIN(RADIANS(B74))*SIN(RADIANS(B75))*(1-COS(RADIANS(C75-C74)))))))*TAN((ACOS(MIN(1,MAX(-1,COS(RADIANS(B75-B74))-SIN(RADIANS(B74))*SIN(RADIANS(B75))*(1-COS(RADIANS(C75-C74)))))))/2)))</f>
        <v>755.404318445911</v>
      </c>
      <c r="G75" s="24" t="n">
        <f aca="false">IF(H75=0,0,DEGREES(ACOS(MIN(1,MAX(-1,COS(RADIANS(B75-B74))-SIN(RADIANS(B74))*SIN(RADIANS(B75))*(1-COS(RADIANS(C75-C74)))))))*100/H75)</f>
        <v>0.0564781468484798</v>
      </c>
      <c r="H75" s="24" t="n">
        <f aca="false">A75-A74</f>
        <v>93</v>
      </c>
      <c r="I75" s="24" t="n">
        <f aca="false">J75*COS(RADIANS(K75-Well_Data!$B$68))</f>
        <v>1266.85580784254</v>
      </c>
      <c r="J75" s="24" t="n">
        <f aca="false">SQRT(E75^2+F75^2)</f>
        <v>1266.92568839864</v>
      </c>
      <c r="K75" s="24" t="n">
        <f aca="false">IF(J75=0,0,MOD(DEGREES(ATAN2(E75,F75)),360))</f>
        <v>143.398213789993</v>
      </c>
    </row>
    <row r="76" customFormat="false" ht="15" hidden="false" customHeight="true" outlineLevel="0" collapsed="false">
      <c r="A76" s="20" t="n">
        <v>4981</v>
      </c>
      <c r="B76" s="20" t="n">
        <v>34.82</v>
      </c>
      <c r="C76" s="20" t="n">
        <v>143.83</v>
      </c>
      <c r="D76" s="24" t="n">
        <f aca="false">D75+(A76-A75)/2*(COS(RADIANS(B75))+COS(RADIANS(B76)))*(IF(ACOS(MIN(1,MAX(-1,COS(RADIANS(B76-B75))-SIN(RADIANS(B75))*SIN(RADIANS(B76))*(1-COS(RADIANS(C76-C75))))))=0,1,2/(ACOS(MIN(1,MAX(-1,COS(RADIANS(B76-B75))-SIN(RADIANS(B75))*SIN(RADIANS(B76))*(1-COS(RADIANS(C76-C75)))))))*TAN((ACOS(MIN(1,MAX(-1,COS(RADIANS(B76-B75))-SIN(RADIANS(B75))*SIN(RADIANS(B76))*(1-COS(RADIANS(C76-C75)))))))/2)))</f>
        <v>4610.41788858962</v>
      </c>
      <c r="E76" s="24" t="n">
        <f aca="false">E75+(A76-A75)/2*(SIN(RADIANS(B75))*COS(RADIANS(C75))+SIN(RADIANS(B76))*COS(RADIANS(C76)))*(IF(ACOS(MIN(1,MAX(-1,COS(RADIANS(B76-B75))-SIN(RADIANS(B75))*SIN(RADIANS(B76))*(1-COS(RADIANS(C76-C75))))))=0,1,2/(ACOS(MIN(1,MAX(-1,COS(RADIANS(B76-B75))-SIN(RADIANS(B75))*SIN(RADIANS(B76))*(1-COS(RADIANS(C76-C75)))))))*TAN((ACOS(MIN(1,MAX(-1,COS(RADIANS(B76-B75))-SIN(RADIANS(B75))*SIN(RADIANS(B76))*(1-COS(RADIANS(C76-C75)))))))/2)))</f>
        <v>-1060.06859865271</v>
      </c>
      <c r="F76" s="24" t="n">
        <f aca="false">F75+(A76-A75)/2*(SIN(RADIANS(B75))*SIN(RADIANS(C75))+SIN(RADIANS(B76))*SIN(RADIANS(C76)))*(IF(ACOS(MIN(1,MAX(-1,COS(RADIANS(B76-B75))-SIN(RADIANS(B75))*SIN(RADIANS(B76))*(1-COS(RADIANS(C76-C75))))))=0,1,2/(ACOS(MIN(1,MAX(-1,COS(RADIANS(B76-B75))-SIN(RADIANS(B75))*SIN(RADIANS(B76))*(1-COS(RADIANS(C76-C75)))))))*TAN((ACOS(MIN(1,MAX(-1,COS(RADIANS(B76-B75))-SIN(RADIANS(B75))*SIN(RADIANS(B76))*(1-COS(RADIANS(C76-C75)))))))/2)))</f>
        <v>786.747238895518</v>
      </c>
      <c r="G76" s="24" t="n">
        <f aca="false">IF(H76=0,0,DEGREES(ACOS(MIN(1,MAX(-1,COS(RADIANS(B76-B75))-SIN(RADIANS(B75))*SIN(RADIANS(B76))*(1-COS(RADIANS(C76-C75)))))))*100/H76)</f>
        <v>0.173424701748879</v>
      </c>
      <c r="H76" s="24" t="n">
        <f aca="false">A76-A75</f>
        <v>93</v>
      </c>
      <c r="I76" s="24" t="n">
        <f aca="false">J76*COS(RADIANS(K76-Well_Data!$B$68))</f>
        <v>1320.05193581789</v>
      </c>
      <c r="J76" s="24" t="n">
        <f aca="false">SQRT(E76^2+F76^2)</f>
        <v>1320.11993839925</v>
      </c>
      <c r="K76" s="24" t="n">
        <f aca="false">IF(J76=0,0,MOD(DEGREES(ATAN2(E76,F76)),360))</f>
        <v>143.418438699979</v>
      </c>
    </row>
    <row r="77" customFormat="false" ht="15" hidden="false" customHeight="true" outlineLevel="0" collapsed="false">
      <c r="A77" s="20" t="n">
        <v>5074</v>
      </c>
      <c r="B77" s="20" t="n">
        <v>35.11</v>
      </c>
      <c r="C77" s="20" t="n">
        <v>143.8</v>
      </c>
      <c r="D77" s="24" t="n">
        <f aca="false">D76+(A77-A76)/2*(COS(RADIANS(B76))+COS(RADIANS(B77)))*(IF(ACOS(MIN(1,MAX(-1,COS(RADIANS(B77-B76))-SIN(RADIANS(B76))*SIN(RADIANS(B77))*(1-COS(RADIANS(C77-C76))))))=0,1,2/(ACOS(MIN(1,MAX(-1,COS(RADIANS(B77-B76))-SIN(RADIANS(B76))*SIN(RADIANS(B77))*(1-COS(RADIANS(C77-C76)))))))*TAN((ACOS(MIN(1,MAX(-1,COS(RADIANS(B77-B76))-SIN(RADIANS(B76))*SIN(RADIANS(B77))*(1-COS(RADIANS(C77-C76)))))))/2)))</f>
        <v>4686.63151885707</v>
      </c>
      <c r="E77" s="24" t="n">
        <f aca="false">E76+(A77-A76)/2*(SIN(RADIANS(B76))*COS(RADIANS(C76))+SIN(RADIANS(B77))*COS(RADIANS(C77)))*(IF(ACOS(MIN(1,MAX(-1,COS(RADIANS(B77-B76))-SIN(RADIANS(B76))*SIN(RADIANS(B77))*(1-COS(RADIANS(C77-C76))))))=0,1,2/(ACOS(MIN(1,MAX(-1,COS(RADIANS(B77-B76))-SIN(RADIANS(B76))*SIN(RADIANS(B77))*(1-COS(RADIANS(C77-C76)))))))*TAN((ACOS(MIN(1,MAX(-1,COS(RADIANS(B77-B76))-SIN(RADIANS(B76))*SIN(RADIANS(B77))*(1-COS(RADIANS(C77-C76)))))))/2)))</f>
        <v>-1103.0845679524</v>
      </c>
      <c r="F77" s="24" t="n">
        <f aca="false">F76+(A77-A76)/2*(SIN(RADIANS(B76))*SIN(RADIANS(C76))+SIN(RADIANS(B77))*SIN(RADIANS(C77)))*(IF(ACOS(MIN(1,MAX(-1,COS(RADIANS(B77-B76))-SIN(RADIANS(B76))*SIN(RADIANS(B77))*(1-COS(RADIANS(C77-C76))))))=0,1,2/(ACOS(MIN(1,MAX(-1,COS(RADIANS(B77-B76))-SIN(RADIANS(B76))*SIN(RADIANS(B77))*(1-COS(RADIANS(C77-C76)))))))*TAN((ACOS(MIN(1,MAX(-1,COS(RADIANS(B77-B76))-SIN(RADIANS(B76))*SIN(RADIANS(B77))*(1-COS(RADIANS(C77-C76)))))))/2)))</f>
        <v>818.212941134299</v>
      </c>
      <c r="G77" s="24" t="n">
        <f aca="false">IF(H77=0,0,DEGREES(ACOS(MIN(1,MAX(-1,COS(RADIANS(B77-B76))-SIN(RADIANS(B76))*SIN(RADIANS(B77))*(1-COS(RADIANS(C77-C76)))))))*100/H77)</f>
        <v>0.312375436932144</v>
      </c>
      <c r="H77" s="24" t="n">
        <f aca="false">A77-A76</f>
        <v>93</v>
      </c>
      <c r="I77" s="24" t="n">
        <f aca="false">J77*COS(RADIANS(K77-Well_Data!$B$68))</f>
        <v>1373.34766173983</v>
      </c>
      <c r="J77" s="24" t="n">
        <f aca="false">SQRT(E77^2+F77^2)</f>
        <v>1373.41471562467</v>
      </c>
      <c r="K77" s="24" t="n">
        <f aca="false">IF(J77=0,0,MOD(DEGREES(ATAN2(E77,F77)),360))</f>
        <v>143.433825218551</v>
      </c>
    </row>
    <row r="78" customFormat="false" ht="15" hidden="false" customHeight="true" outlineLevel="0" collapsed="false">
      <c r="A78" s="20" t="n">
        <v>5167</v>
      </c>
      <c r="B78" s="20" t="n">
        <v>34.91</v>
      </c>
      <c r="C78" s="20" t="n">
        <v>144.11</v>
      </c>
      <c r="D78" s="24" t="n">
        <f aca="false">D77+(A78-A77)/2*(COS(RADIANS(B77))+COS(RADIANS(B78)))*(IF(ACOS(MIN(1,MAX(-1,COS(RADIANS(B78-B77))-SIN(RADIANS(B77))*SIN(RADIANS(B78))*(1-COS(RADIANS(C78-C77))))))=0,1,2/(ACOS(MIN(1,MAX(-1,COS(RADIANS(B78-B77))-SIN(RADIANS(B77))*SIN(RADIANS(B78))*(1-COS(RADIANS(C78-C77)))))))*TAN((ACOS(MIN(1,MAX(-1,COS(RADIANS(B78-B77))-SIN(RADIANS(B77))*SIN(RADIANS(B78))*(1-COS(RADIANS(C78-C77)))))))/2)))</f>
        <v>4762.80337026486</v>
      </c>
      <c r="E78" s="24" t="n">
        <f aca="false">E77+(A78-A77)/2*(SIN(RADIANS(B77))*COS(RADIANS(C77))+SIN(RADIANS(B78))*COS(RADIANS(C78)))*(IF(ACOS(MIN(1,MAX(-1,COS(RADIANS(B78-B77))-SIN(RADIANS(B77))*SIN(RADIANS(B78))*(1-COS(RADIANS(C78-C77))))))=0,1,2/(ACOS(MIN(1,MAX(-1,COS(RADIANS(B78-B77))-SIN(RADIANS(B77))*SIN(RADIANS(B78))*(1-COS(RADIANS(C78-C77)))))))*TAN((ACOS(MIN(1,MAX(-1,COS(RADIANS(B78-B77))-SIN(RADIANS(B77))*SIN(RADIANS(B78))*(1-COS(RADIANS(C78-C77)))))))/2)))</f>
        <v>-1146.22539937359</v>
      </c>
      <c r="F78" s="24" t="n">
        <f aca="false">F77+(A78-A77)/2*(SIN(RADIANS(B77))*SIN(RADIANS(C77))+SIN(RADIANS(B78))*SIN(RADIANS(C78)))*(IF(ACOS(MIN(1,MAX(-1,COS(RADIANS(B78-B77))-SIN(RADIANS(B77))*SIN(RADIANS(B78))*(1-COS(RADIANS(C78-C77))))))=0,1,2/(ACOS(MIN(1,MAX(-1,COS(RADIANS(B78-B77))-SIN(RADIANS(B77))*SIN(RADIANS(B78))*(1-COS(RADIANS(C78-C77)))))))*TAN((ACOS(MIN(1,MAX(-1,COS(RADIANS(B78-B77))-SIN(RADIANS(B77))*SIN(RADIANS(B78))*(1-COS(RADIANS(C78-C77)))))))/2)))</f>
        <v>849.608832434233</v>
      </c>
      <c r="G78" s="24" t="n">
        <f aca="false">IF(H78=0,0,DEGREES(ACOS(MIN(1,MAX(-1,COS(RADIANS(B78-B77))-SIN(RADIANS(B77))*SIN(RADIANS(B78))*(1-COS(RADIANS(C78-C77)))))))*100/H78)</f>
        <v>0.287785437084415</v>
      </c>
      <c r="H78" s="24" t="n">
        <f aca="false">A78-A77</f>
        <v>93</v>
      </c>
      <c r="I78" s="24" t="n">
        <f aca="false">J78*COS(RADIANS(K78-Well_Data!$B$68))</f>
        <v>1426.70336939972</v>
      </c>
      <c r="J78" s="24" t="n">
        <f aca="false">SQRT(E78^2+F78^2)</f>
        <v>1426.76831837527</v>
      </c>
      <c r="K78" s="24" t="n">
        <f aca="false">IF(J78=0,0,MOD(DEGREES(ATAN2(E78,F78)),360))</f>
        <v>143.453300468384</v>
      </c>
    </row>
    <row r="79" customFormat="false" ht="15" hidden="false" customHeight="true" outlineLevel="0" collapsed="false">
      <c r="A79" s="20" t="n">
        <v>5260</v>
      </c>
      <c r="B79" s="20" t="n">
        <v>35.11</v>
      </c>
      <c r="C79" s="20" t="n">
        <v>143.77</v>
      </c>
      <c r="D79" s="24" t="n">
        <f aca="false">D78+(A79-A78)/2*(COS(RADIANS(B78))+COS(RADIANS(B79)))*(IF(ACOS(MIN(1,MAX(-1,COS(RADIANS(B79-B78))-SIN(RADIANS(B78))*SIN(RADIANS(B79))*(1-COS(RADIANS(C79-C78))))))=0,1,2/(ACOS(MIN(1,MAX(-1,COS(RADIANS(B79-B78))-SIN(RADIANS(B78))*SIN(RADIANS(B79))*(1-COS(RADIANS(C79-C78)))))))*TAN((ACOS(MIN(1,MAX(-1,COS(RADIANS(B79-B78))-SIN(RADIANS(B78))*SIN(RADIANS(B79))*(1-COS(RADIANS(C79-C78)))))))/2)))</f>
        <v>4838.97523408341</v>
      </c>
      <c r="E79" s="24" t="n">
        <f aca="false">E78+(A79-A78)/2*(SIN(RADIANS(B78))*COS(RADIANS(C78))+SIN(RADIANS(B79))*COS(RADIANS(C79)))*(IF(ACOS(MIN(1,MAX(-1,COS(RADIANS(B79-B78))-SIN(RADIANS(B78))*SIN(RADIANS(B79))*(1-COS(RADIANS(C79-C78))))))=0,1,2/(ACOS(MIN(1,MAX(-1,COS(RADIANS(B79-B78))-SIN(RADIANS(B78))*SIN(RADIANS(B79))*(1-COS(RADIANS(C79-C78)))))))*TAN((ACOS(MIN(1,MAX(-1,COS(RADIANS(B79-B78))-SIN(RADIANS(B78))*SIN(RADIANS(B79))*(1-COS(RADIANS(C79-C78)))))))/2)))</f>
        <v>-1189.35796440533</v>
      </c>
      <c r="F79" s="24" t="n">
        <f aca="false">F78+(A79-A78)/2*(SIN(RADIANS(B78))*SIN(RADIANS(C78))+SIN(RADIANS(B79))*SIN(RADIANS(C79)))*(IF(ACOS(MIN(1,MAX(-1,COS(RADIANS(B79-B78))-SIN(RADIANS(B78))*SIN(RADIANS(B79))*(1-COS(RADIANS(C79-C78))))))=0,1,2/(ACOS(MIN(1,MAX(-1,COS(RADIANS(B79-B78))-SIN(RADIANS(B78))*SIN(RADIANS(B79))*(1-COS(RADIANS(C79-C78)))))))*TAN((ACOS(MIN(1,MAX(-1,COS(RADIANS(B79-B78))-SIN(RADIANS(B78))*SIN(RADIANS(B79))*(1-COS(RADIANS(C79-C78)))))))/2)))</f>
        <v>881.016026834988</v>
      </c>
      <c r="G79" s="24" t="n">
        <f aca="false">IF(H79=0,0,DEGREES(ACOS(MIN(1,MAX(-1,COS(RADIANS(B79-B78))-SIN(RADIANS(B78))*SIN(RADIANS(B79))*(1-COS(RADIANS(C79-C78)))))))*100/H79)</f>
        <v>0.300402178473524</v>
      </c>
      <c r="H79" s="24" t="n">
        <f aca="false">A79-A78</f>
        <v>93</v>
      </c>
      <c r="I79" s="24" t="n">
        <f aca="false">J79*COS(RADIANS(K79-Well_Data!$B$68))</f>
        <v>1480.05903320602</v>
      </c>
      <c r="J79" s="24" t="n">
        <f aca="false">SQRT(E79^2+F79^2)</f>
        <v>1480.12215949715</v>
      </c>
      <c r="K79" s="24" t="n">
        <f aca="false">IF(J79=0,0,MOD(DEGREES(ATAN2(E79,F79)),360))</f>
        <v>143.470829615654</v>
      </c>
    </row>
    <row r="80" customFormat="false" ht="15" hidden="false" customHeight="true" outlineLevel="0" collapsed="false">
      <c r="A80" s="20" t="n">
        <v>5353</v>
      </c>
      <c r="B80" s="20" t="n">
        <v>35.15</v>
      </c>
      <c r="C80" s="20" t="n">
        <v>143.69</v>
      </c>
      <c r="D80" s="24" t="n">
        <f aca="false">D79+(A80-A79)/2*(COS(RADIANS(B79))+COS(RADIANS(B80)))*(IF(ACOS(MIN(1,MAX(-1,COS(RADIANS(B80-B79))-SIN(RADIANS(B79))*SIN(RADIANS(B80))*(1-COS(RADIANS(C80-C79))))))=0,1,2/(ACOS(MIN(1,MAX(-1,COS(RADIANS(B80-B79))-SIN(RADIANS(B79))*SIN(RADIANS(B80))*(1-COS(RADIANS(C80-C79)))))))*TAN((ACOS(MIN(1,MAX(-1,COS(RADIANS(B80-B79))-SIN(RADIANS(B79))*SIN(RADIANS(B80))*(1-COS(RADIANS(C80-C79)))))))/2)))</f>
        <v>4915.03515022203</v>
      </c>
      <c r="E80" s="24" t="n">
        <f aca="false">E79+(A80-A79)/2*(SIN(RADIANS(B79))*COS(RADIANS(C79))+SIN(RADIANS(B80))*COS(RADIANS(C80)))*(IF(ACOS(MIN(1,MAX(-1,COS(RADIANS(B80-B79))-SIN(RADIANS(B79))*SIN(RADIANS(B80))*(1-COS(RADIANS(C80-C79))))))=0,1,2/(ACOS(MIN(1,MAX(-1,COS(RADIANS(B80-B79))-SIN(RADIANS(B79))*SIN(RADIANS(B80))*(1-COS(RADIANS(C80-C79)))))))*TAN((ACOS(MIN(1,MAX(-1,COS(RADIANS(B80-B79))-SIN(RADIANS(B79))*SIN(RADIANS(B80))*(1-COS(RADIANS(C80-C79)))))))/2)))</f>
        <v>-1232.50403744291</v>
      </c>
      <c r="F80" s="24" t="n">
        <f aca="false">F79+(A80-A79)/2*(SIN(RADIANS(B79))*SIN(RADIANS(C79))+SIN(RADIANS(B80))*SIN(RADIANS(C80)))*(IF(ACOS(MIN(1,MAX(-1,COS(RADIANS(B80-B79))-SIN(RADIANS(B79))*SIN(RADIANS(B80))*(1-COS(RADIANS(C80-C79))))))=0,1,2/(ACOS(MIN(1,MAX(-1,COS(RADIANS(B80-B79))-SIN(RADIANS(B79))*SIN(RADIANS(B80))*(1-COS(RADIANS(C80-C79)))))))*TAN((ACOS(MIN(1,MAX(-1,COS(RADIANS(B80-B79))-SIN(RADIANS(B79))*SIN(RADIANS(B80))*(1-COS(RADIANS(C80-C79)))))))/2)))</f>
        <v>912.67522331663</v>
      </c>
      <c r="G80" s="24" t="n">
        <f aca="false">IF(H80=0,0,DEGREES(ACOS(MIN(1,MAX(-1,COS(RADIANS(B80-B79))-SIN(RADIANS(B79))*SIN(RADIANS(B80))*(1-COS(RADIANS(C80-C79)))))))*100/H80)</f>
        <v>0.0655754548967386</v>
      </c>
      <c r="H80" s="24" t="n">
        <f aca="false">A80-A79</f>
        <v>93</v>
      </c>
      <c r="I80" s="24" t="n">
        <f aca="false">J80*COS(RADIANS(K80-Well_Data!$B$68))</f>
        <v>1533.5737483253</v>
      </c>
      <c r="J80" s="24" t="n">
        <f aca="false">SQRT(E80^2+F80^2)</f>
        <v>1533.63694059876</v>
      </c>
      <c r="K80" s="24" t="n">
        <f aca="false">IF(J80=0,0,MOD(DEGREES(ATAN2(E80,F80)),360))</f>
        <v>143.479872482133</v>
      </c>
    </row>
    <row r="81" customFormat="false" ht="15" hidden="false" customHeight="true" outlineLevel="0" collapsed="false">
      <c r="A81" s="20" t="n">
        <v>5446</v>
      </c>
      <c r="B81" s="20" t="n">
        <v>34.67</v>
      </c>
      <c r="C81" s="20" t="n">
        <v>144.12</v>
      </c>
      <c r="D81" s="24" t="n">
        <f aca="false">D80+(A81-A80)/2*(COS(RADIANS(B80))+COS(RADIANS(B81)))*(IF(ACOS(MIN(1,MAX(-1,COS(RADIANS(B81-B80))-SIN(RADIANS(B80))*SIN(RADIANS(B81))*(1-COS(RADIANS(C81-C80))))))=0,1,2/(ACOS(MIN(1,MAX(-1,COS(RADIANS(B81-B80))-SIN(RADIANS(B80))*SIN(RADIANS(B81))*(1-COS(RADIANS(C81-C80)))))))*TAN((ACOS(MIN(1,MAX(-1,COS(RADIANS(B81-B80))-SIN(RADIANS(B80))*SIN(RADIANS(B81))*(1-COS(RADIANS(C81-C80)))))))/2)))</f>
        <v>4991.29988090501</v>
      </c>
      <c r="E81" s="24" t="n">
        <f aca="false">E80+(A81-A80)/2*(SIN(RADIANS(B80))*COS(RADIANS(C80))+SIN(RADIANS(B81))*COS(RADIANS(C81)))*(IF(ACOS(MIN(1,MAX(-1,COS(RADIANS(B81-B80))-SIN(RADIANS(B80))*SIN(RADIANS(B81))*(1-COS(RADIANS(C81-C80))))))=0,1,2/(ACOS(MIN(1,MAX(-1,COS(RADIANS(B81-B80))-SIN(RADIANS(B80))*SIN(RADIANS(B81))*(1-COS(RADIANS(C81-C80)))))))*TAN((ACOS(MIN(1,MAX(-1,COS(RADIANS(B81-B80))-SIN(RADIANS(B80))*SIN(RADIANS(B81))*(1-COS(RADIANS(C81-C80)))))))/2)))</f>
        <v>-1275.50925201512</v>
      </c>
      <c r="F81" s="24" t="n">
        <f aca="false">F80+(A81-A80)/2*(SIN(RADIANS(B80))*SIN(RADIANS(C80))+SIN(RADIANS(B81))*SIN(RADIANS(C81)))*(IF(ACOS(MIN(1,MAX(-1,COS(RADIANS(B81-B80))-SIN(RADIANS(B80))*SIN(RADIANS(B81))*(1-COS(RADIANS(C81-C80))))))=0,1,2/(ACOS(MIN(1,MAX(-1,COS(RADIANS(B81-B80))-SIN(RADIANS(B80))*SIN(RADIANS(B81))*(1-COS(RADIANS(C81-C80)))))))*TAN((ACOS(MIN(1,MAX(-1,COS(RADIANS(B81-B80))-SIN(RADIANS(B80))*SIN(RADIANS(B81))*(1-COS(RADIANS(C81-C80)))))))/2)))</f>
        <v>944.030900532251</v>
      </c>
      <c r="G81" s="24" t="n">
        <f aca="false">IF(H81=0,0,DEGREES(ACOS(MIN(1,MAX(-1,COS(RADIANS(B81-B80))-SIN(RADIANS(B80))*SIN(RADIANS(B81))*(1-COS(RADIANS(C81-C80)))))))*100/H81)</f>
        <v>0.580002374838638</v>
      </c>
      <c r="H81" s="24" t="n">
        <f aca="false">A81-A80</f>
        <v>93</v>
      </c>
      <c r="I81" s="24" t="n">
        <f aca="false">J81*COS(RADIANS(K81-Well_Data!$B$68))</f>
        <v>1586.79610240395</v>
      </c>
      <c r="J81" s="24" t="n">
        <f aca="false">SQRT(E81^2+F81^2)</f>
        <v>1586.85796249567</v>
      </c>
      <c r="K81" s="24" t="n">
        <f aca="false">IF(J81=0,0,MOD(DEGREES(ATAN2(E81,F81)),360))</f>
        <v>143.494087636095</v>
      </c>
    </row>
    <row r="82" customFormat="false" ht="15" hidden="false" customHeight="true" outlineLevel="0" collapsed="false">
      <c r="A82" s="20" t="n">
        <v>5539</v>
      </c>
      <c r="B82" s="20" t="n">
        <v>34.99</v>
      </c>
      <c r="C82" s="20" t="n">
        <v>143.82</v>
      </c>
      <c r="D82" s="24" t="n">
        <f aca="false">D81+(A82-A81)/2*(COS(RADIANS(B81))+COS(RADIANS(B82)))*(IF(ACOS(MIN(1,MAX(-1,COS(RADIANS(B82-B81))-SIN(RADIANS(B81))*SIN(RADIANS(B82))*(1-COS(RADIANS(C82-C81))))))=0,1,2/(ACOS(MIN(1,MAX(-1,COS(RADIANS(B82-B81))-SIN(RADIANS(B81))*SIN(RADIANS(B82))*(1-COS(RADIANS(C82-C81)))))))*TAN((ACOS(MIN(1,MAX(-1,COS(RADIANS(B82-B81))-SIN(RADIANS(B81))*SIN(RADIANS(B82))*(1-COS(RADIANS(C82-C81)))))))/2)))</f>
        <v>5067.63891384283</v>
      </c>
      <c r="E82" s="24" t="n">
        <f aca="false">E81+(A82-A81)/2*(SIN(RADIANS(B81))*COS(RADIANS(C81))+SIN(RADIANS(B82))*COS(RADIANS(C82)))*(IF(ACOS(MIN(1,MAX(-1,COS(RADIANS(B82-B81))-SIN(RADIANS(B81))*SIN(RADIANS(B82))*(1-COS(RADIANS(C82-C81))))))=0,1,2/(ACOS(MIN(1,MAX(-1,COS(RADIANS(B82-B81))-SIN(RADIANS(B81))*SIN(RADIANS(B82))*(1-COS(RADIANS(C82-C81)))))))*TAN((ACOS(MIN(1,MAX(-1,COS(RADIANS(B82-B81))-SIN(RADIANS(B81))*SIN(RADIANS(B82))*(1-COS(RADIANS(C82-C81)))))))/2)))</f>
        <v>-1318.46442137968</v>
      </c>
      <c r="F82" s="24" t="n">
        <f aca="false">F81+(A82-A81)/2*(SIN(RADIANS(B81))*SIN(RADIANS(C81))+SIN(RADIANS(B82))*SIN(RADIANS(C82)))*(IF(ACOS(MIN(1,MAX(-1,COS(RADIANS(B82-B81))-SIN(RADIANS(B81))*SIN(RADIANS(B82))*(1-COS(RADIANS(C82-C81))))))=0,1,2/(ACOS(MIN(1,MAX(-1,COS(RADIANS(B82-B81))-SIN(RADIANS(B81))*SIN(RADIANS(B82))*(1-COS(RADIANS(C82-C81)))))))*TAN((ACOS(MIN(1,MAX(-1,COS(RADIANS(B82-B81))-SIN(RADIANS(B81))*SIN(RADIANS(B82))*(1-COS(RADIANS(C82-C81)))))))/2)))</f>
        <v>975.274724677022</v>
      </c>
      <c r="G82" s="24" t="n">
        <f aca="false">IF(H82=0,0,DEGREES(ACOS(MIN(1,MAX(-1,COS(RADIANS(B82-B81))-SIN(RADIANS(B81))*SIN(RADIANS(B82))*(1-COS(RADIANS(C82-C81)))))))*100/H82)</f>
        <v>0.390306052009497</v>
      </c>
      <c r="H82" s="24" t="n">
        <f aca="false">A82-A81</f>
        <v>93</v>
      </c>
      <c r="I82" s="24" t="n">
        <f aca="false">J82*COS(RADIANS(K82-Well_Data!$B$68))</f>
        <v>1639.91222347365</v>
      </c>
      <c r="J82" s="24" t="n">
        <f aca="false">SQRT(E82^2+F82^2)</f>
        <v>1639.97232264386</v>
      </c>
      <c r="K82" s="24" t="n">
        <f aca="false">IF(J82=0,0,MOD(DEGREES(ATAN2(E82,F82)),360))</f>
        <v>143.509482015537</v>
      </c>
    </row>
    <row r="83" customFormat="false" ht="15" hidden="false" customHeight="true" outlineLevel="0" collapsed="false">
      <c r="A83" s="20" t="n">
        <v>5632</v>
      </c>
      <c r="B83" s="20" t="n">
        <v>35.05</v>
      </c>
      <c r="C83" s="20" t="n">
        <v>143.97</v>
      </c>
      <c r="D83" s="24" t="n">
        <f aca="false">D82+(A83-A82)/2*(COS(RADIANS(B82))+COS(RADIANS(B83)))*(IF(ACOS(MIN(1,MAX(-1,COS(RADIANS(B83-B82))-SIN(RADIANS(B82))*SIN(RADIANS(B83))*(1-COS(RADIANS(C83-C82))))))=0,1,2/(ACOS(MIN(1,MAX(-1,COS(RADIANS(B83-B82))-SIN(RADIANS(B82))*SIN(RADIANS(B83))*(1-COS(RADIANS(C83-C82)))))))*TAN((ACOS(MIN(1,MAX(-1,COS(RADIANS(B83-B82))-SIN(RADIANS(B82))*SIN(RADIANS(B83))*(1-COS(RADIANS(C83-C82)))))))/2)))</f>
        <v>5143.80144008336</v>
      </c>
      <c r="E83" s="24" t="n">
        <f aca="false">E82+(A83-A82)/2*(SIN(RADIANS(B82))*COS(RADIANS(C82))+SIN(RADIANS(B83))*COS(RADIANS(C83)))*(IF(ACOS(MIN(1,MAX(-1,COS(RADIANS(B83-B82))-SIN(RADIANS(B82))*SIN(RADIANS(B83))*(1-COS(RADIANS(C83-C82))))))=0,1,2/(ACOS(MIN(1,MAX(-1,COS(RADIANS(B83-B82))-SIN(RADIANS(B82))*SIN(RADIANS(B83))*(1-COS(RADIANS(C83-C82)))))))*TAN((ACOS(MIN(1,MAX(-1,COS(RADIANS(B83-B82))-SIN(RADIANS(B82))*SIN(RADIANS(B83))*(1-COS(RADIANS(C83-C82)))))))/2)))</f>
        <v>-1361.58344882995</v>
      </c>
      <c r="F83" s="24" t="n">
        <f aca="false">F82+(A83-A82)/2*(SIN(RADIANS(B82))*SIN(RADIANS(C82))+SIN(RADIANS(B83))*SIN(RADIANS(C83)))*(IF(ACOS(MIN(1,MAX(-1,COS(RADIANS(B83-B82))-SIN(RADIANS(B82))*SIN(RADIANS(B83))*(1-COS(RADIANS(C83-C82))))))=0,1,2/(ACOS(MIN(1,MAX(-1,COS(RADIANS(B83-B82))-SIN(RADIANS(B82))*SIN(RADIANS(B83))*(1-COS(RADIANS(C83-C82)))))))*TAN((ACOS(MIN(1,MAX(-1,COS(RADIANS(B83-B82))-SIN(RADIANS(B82))*SIN(RADIANS(B83))*(1-COS(RADIANS(C83-C82)))))))/2)))</f>
        <v>1006.72335980166</v>
      </c>
      <c r="G83" s="24" t="n">
        <f aca="false">IF(H83=0,0,DEGREES(ACOS(MIN(1,MAX(-1,COS(RADIANS(B83-B82))-SIN(RADIANS(B82))*SIN(RADIANS(B83))*(1-COS(RADIANS(C83-C82)))))))*100/H83)</f>
        <v>0.112824586029453</v>
      </c>
      <c r="H83" s="24" t="n">
        <f aca="false">A83-A82</f>
        <v>93</v>
      </c>
      <c r="I83" s="24" t="n">
        <f aca="false">J83*COS(RADIANS(K83-Well_Data!$B$68))</f>
        <v>1693.28129339282</v>
      </c>
      <c r="J83" s="24" t="n">
        <f aca="false">SQRT(E83^2+F83^2)</f>
        <v>1693.34031172059</v>
      </c>
      <c r="K83" s="24" t="n">
        <f aca="false">IF(J83=0,0,MOD(DEGREES(ATAN2(E83,F83)),360))</f>
        <v>143.521634095288</v>
      </c>
    </row>
    <row r="84" customFormat="false" ht="15" hidden="false" customHeight="true" outlineLevel="0" collapsed="false">
      <c r="A84" s="20" t="n">
        <v>5725</v>
      </c>
      <c r="B84" s="20" t="n">
        <v>34.67</v>
      </c>
      <c r="C84" s="20" t="n">
        <v>144.14</v>
      </c>
      <c r="D84" s="24" t="n">
        <f aca="false">D83+(A84-A83)/2*(COS(RADIANS(B83))+COS(RADIANS(B84)))*(IF(ACOS(MIN(1,MAX(-1,COS(RADIANS(B84-B83))-SIN(RADIANS(B83))*SIN(RADIANS(B84))*(1-COS(RADIANS(C84-C83))))))=0,1,2/(ACOS(MIN(1,MAX(-1,COS(RADIANS(B84-B83))-SIN(RADIANS(B83))*SIN(RADIANS(B84))*(1-COS(RADIANS(C84-C83)))))))*TAN((ACOS(MIN(1,MAX(-1,COS(RADIANS(B84-B83))-SIN(RADIANS(B83))*SIN(RADIANS(B84))*(1-COS(RADIANS(C84-C83)))))))/2)))</f>
        <v>5220.11257166141</v>
      </c>
      <c r="E84" s="24" t="n">
        <f aca="false">E83+(A84-A83)/2*(SIN(RADIANS(B83))*COS(RADIANS(C83))+SIN(RADIANS(B84))*COS(RADIANS(C84)))*(IF(ACOS(MIN(1,MAX(-1,COS(RADIANS(B84-B83))-SIN(RADIANS(B83))*SIN(RADIANS(B84))*(1-COS(RADIANS(C84-C83))))))=0,1,2/(ACOS(MIN(1,MAX(-1,COS(RADIANS(B84-B83))-SIN(RADIANS(B83))*SIN(RADIANS(B84))*(1-COS(RADIANS(C84-C83)))))))*TAN((ACOS(MIN(1,MAX(-1,COS(RADIANS(B84-B83))-SIN(RADIANS(B83))*SIN(RADIANS(B84))*(1-COS(RADIANS(C84-C83)))))))/2)))</f>
        <v>-1404.61743848145</v>
      </c>
      <c r="F84" s="24" t="n">
        <f aca="false">F83+(A84-A83)/2*(SIN(RADIANS(B83))*SIN(RADIANS(C83))+SIN(RADIANS(B84))*SIN(RADIANS(C84)))*(IF(ACOS(MIN(1,MAX(-1,COS(RADIANS(B84-B83))-SIN(RADIANS(B83))*SIN(RADIANS(B84))*(1-COS(RADIANS(C84-C83))))))=0,1,2/(ACOS(MIN(1,MAX(-1,COS(RADIANS(B84-B83))-SIN(RADIANS(B83))*SIN(RADIANS(B84))*(1-COS(RADIANS(C84-C83)))))))*TAN((ACOS(MIN(1,MAX(-1,COS(RADIANS(B84-B83))-SIN(RADIANS(B83))*SIN(RADIANS(B84))*(1-COS(RADIANS(C84-C83)))))))/2)))</f>
        <v>1037.92677557132</v>
      </c>
      <c r="G84" s="24" t="n">
        <f aca="false">IF(H84=0,0,DEGREES(ACOS(MIN(1,MAX(-1,COS(RADIANS(B84-B83))-SIN(RADIANS(B83))*SIN(RADIANS(B84))*(1-COS(RADIANS(C84-C83)))))))*100/H84)</f>
        <v>0.421748417973257</v>
      </c>
      <c r="H84" s="24" t="n">
        <f aca="false">A84-A83</f>
        <v>93</v>
      </c>
      <c r="I84" s="24" t="n">
        <f aca="false">J84*COS(RADIANS(K84-Well_Data!$B$68))</f>
        <v>1746.43742996721</v>
      </c>
      <c r="J84" s="24" t="n">
        <f aca="false">SQRT(E84^2+F84^2)</f>
        <v>1746.4942427429</v>
      </c>
      <c r="K84" s="24" t="n">
        <f aca="false">IF(J84=0,0,MOD(DEGREES(ATAN2(E84,F84)),360))</f>
        <v>143.537855028025</v>
      </c>
    </row>
    <row r="85" customFormat="false" ht="15" hidden="false" customHeight="true" outlineLevel="0" collapsed="false">
      <c r="A85" s="20" t="n">
        <v>5818</v>
      </c>
      <c r="B85" s="20" t="n">
        <v>35.09</v>
      </c>
      <c r="C85" s="20" t="n">
        <v>143.99</v>
      </c>
      <c r="D85" s="24" t="n">
        <f aca="false">D84+(A85-A84)/2*(COS(RADIANS(B84))+COS(RADIANS(B85)))*(IF(ACOS(MIN(1,MAX(-1,COS(RADIANS(B85-B84))-SIN(RADIANS(B84))*SIN(RADIANS(B85))*(1-COS(RADIANS(C85-C84))))))=0,1,2/(ACOS(MIN(1,MAX(-1,COS(RADIANS(B85-B84))-SIN(RADIANS(B84))*SIN(RADIANS(B85))*(1-COS(RADIANS(C85-C84)))))))*TAN((ACOS(MIN(1,MAX(-1,COS(RADIANS(B85-B84))-SIN(RADIANS(B84))*SIN(RADIANS(B85))*(1-COS(RADIANS(C85-C84)))))))/2)))</f>
        <v>5296.40510854809</v>
      </c>
      <c r="E85" s="24" t="n">
        <f aca="false">E84+(A85-A84)/2*(SIN(RADIANS(B84))*COS(RADIANS(C84))+SIN(RADIANS(B85))*COS(RADIANS(C85)))*(IF(ACOS(MIN(1,MAX(-1,COS(RADIANS(B85-B84))-SIN(RADIANS(B84))*SIN(RADIANS(B85))*(1-COS(RADIANS(C85-C84))))))=0,1,2/(ACOS(MIN(1,MAX(-1,COS(RADIANS(B85-B84))-SIN(RADIANS(B84))*SIN(RADIANS(B85))*(1-COS(RADIANS(C85-C84)))))))*TAN((ACOS(MIN(1,MAX(-1,COS(RADIANS(B85-B84))-SIN(RADIANS(B84))*SIN(RADIANS(B85))*(1-COS(RADIANS(C85-C84)))))))/2)))</f>
        <v>-1447.67843511822</v>
      </c>
      <c r="F85" s="24" t="n">
        <f aca="false">F84+(A85-A84)/2*(SIN(RADIANS(B84))*SIN(RADIANS(C84))+SIN(RADIANS(B85))*SIN(RADIANS(C85)))*(IF(ACOS(MIN(1,MAX(-1,COS(RADIANS(B85-B84))-SIN(RADIANS(B84))*SIN(RADIANS(B85))*(1-COS(RADIANS(C85-C84))))))=0,1,2/(ACOS(MIN(1,MAX(-1,COS(RADIANS(B85-B84))-SIN(RADIANS(B84))*SIN(RADIANS(B85))*(1-COS(RADIANS(C85-C84)))))))*TAN((ACOS(MIN(1,MAX(-1,COS(RADIANS(B85-B84))-SIN(RADIANS(B84))*SIN(RADIANS(B85))*(1-COS(RADIANS(C85-C84)))))))/2)))</f>
        <v>1069.13829651383</v>
      </c>
      <c r="G85" s="24" t="n">
        <f aca="false">IF(H85=0,0,DEGREES(ACOS(MIN(1,MAX(-1,COS(RADIANS(B85-B84))-SIN(RADIANS(B84))*SIN(RADIANS(B85))*(1-COS(RADIANS(C85-C84)))))))*100/H85)</f>
        <v>0.460935254619601</v>
      </c>
      <c r="H85" s="24" t="n">
        <f aca="false">A85-A84</f>
        <v>93</v>
      </c>
      <c r="I85" s="24" t="n">
        <f aca="false">J85*COS(RADIANS(K85-Well_Data!$B$68))</f>
        <v>1799.6201797527</v>
      </c>
      <c r="J85" s="24" t="n">
        <f aca="false">SQRT(E85^2+F85^2)</f>
        <v>1799.674845237</v>
      </c>
      <c r="K85" s="24" t="n">
        <f aca="false">IF(J85=0,0,MOD(DEGREES(ATAN2(E85,F85)),360))</f>
        <v>143.553420990212</v>
      </c>
    </row>
    <row r="86" customFormat="false" ht="15" hidden="false" customHeight="true" outlineLevel="0" collapsed="false">
      <c r="A86" s="20" t="n">
        <v>5911</v>
      </c>
      <c r="B86" s="20" t="n">
        <v>34.6</v>
      </c>
      <c r="C86" s="20" t="n">
        <v>143.86</v>
      </c>
      <c r="D86" s="24" t="n">
        <f aca="false">D85+(A86-A85)/2*(COS(RADIANS(B85))+COS(RADIANS(B86)))*(IF(ACOS(MIN(1,MAX(-1,COS(RADIANS(B86-B85))-SIN(RADIANS(B85))*SIN(RADIANS(B86))*(1-COS(RADIANS(C86-C85))))))=0,1,2/(ACOS(MIN(1,MAX(-1,COS(RADIANS(B86-B85))-SIN(RADIANS(B85))*SIN(RADIANS(B86))*(1-COS(RADIANS(C86-C85)))))))*TAN((ACOS(MIN(1,MAX(-1,COS(RADIANS(B86-B85))-SIN(RADIANS(B85))*SIN(RADIANS(B86))*(1-COS(RADIANS(C86-C85)))))))/2)))</f>
        <v>5372.73005346364</v>
      </c>
      <c r="E86" s="24" t="n">
        <f aca="false">E85+(A86-A85)/2*(SIN(RADIANS(B85))*COS(RADIANS(C85))+SIN(RADIANS(B86))*COS(RADIANS(C86)))*(IF(ACOS(MIN(1,MAX(-1,COS(RADIANS(B86-B85))-SIN(RADIANS(B85))*SIN(RADIANS(B86))*(1-COS(RADIANS(C86-C85))))))=0,1,2/(ACOS(MIN(1,MAX(-1,COS(RADIANS(B86-B85))-SIN(RADIANS(B85))*SIN(RADIANS(B86))*(1-COS(RADIANS(C86-C85)))))))*TAN((ACOS(MIN(1,MAX(-1,COS(RADIANS(B86-B85))-SIN(RADIANS(B85))*SIN(RADIANS(B86))*(1-COS(RADIANS(C86-C85)))))))/2)))</f>
        <v>-1490.62576924285</v>
      </c>
      <c r="F86" s="24" t="n">
        <f aca="false">F85+(A86-A85)/2*(SIN(RADIANS(B85))*SIN(RADIANS(C85))+SIN(RADIANS(B86))*SIN(RADIANS(C86)))*(IF(ACOS(MIN(1,MAX(-1,COS(RADIANS(B86-B85))-SIN(RADIANS(B85))*SIN(RADIANS(B86))*(1-COS(RADIANS(C86-C85))))))=0,1,2/(ACOS(MIN(1,MAX(-1,COS(RADIANS(B86-B85))-SIN(RADIANS(B85))*SIN(RADIANS(B86))*(1-COS(RADIANS(C86-C85)))))))*TAN((ACOS(MIN(1,MAX(-1,COS(RADIANS(B86-B85))-SIN(RADIANS(B85))*SIN(RADIANS(B86))*(1-COS(RADIANS(C86-C85)))))))/2)))</f>
        <v>1100.42687828834</v>
      </c>
      <c r="G86" s="24" t="n">
        <f aca="false">IF(H86=0,0,DEGREES(ACOS(MIN(1,MAX(-1,COS(RADIANS(B86-B85))-SIN(RADIANS(B85))*SIN(RADIANS(B86))*(1-COS(RADIANS(C86-C85)))))))*100/H86)</f>
        <v>0.532900413125118</v>
      </c>
      <c r="H86" s="24" t="n">
        <f aca="false">A86-A85</f>
        <v>93</v>
      </c>
      <c r="I86" s="24" t="n">
        <f aca="false">J86*COS(RADIANS(K86-Well_Data!$B$68))</f>
        <v>1852.75626985482</v>
      </c>
      <c r="J86" s="24" t="n">
        <f aca="false">SQRT(E86^2+F86^2)</f>
        <v>1852.8098926739</v>
      </c>
      <c r="K86" s="24" t="n">
        <f aca="false">IF(J86=0,0,MOD(DEGREES(ATAN2(E86,F86)),360))</f>
        <v>143.564088759195</v>
      </c>
    </row>
    <row r="87" customFormat="false" ht="15" hidden="false" customHeight="true" outlineLevel="0" collapsed="false">
      <c r="A87" s="20" t="n">
        <v>6004</v>
      </c>
      <c r="B87" s="20" t="n">
        <v>34.64</v>
      </c>
      <c r="C87" s="20" t="n">
        <v>144.2</v>
      </c>
      <c r="D87" s="24" t="n">
        <f aca="false">D86+(A87-A86)/2*(COS(RADIANS(B86))+COS(RADIANS(B87)))*(IF(ACOS(MIN(1,MAX(-1,COS(RADIANS(B87-B86))-SIN(RADIANS(B86))*SIN(RADIANS(B87))*(1-COS(RADIANS(C87-C86))))))=0,1,2/(ACOS(MIN(1,MAX(-1,COS(RADIANS(B87-B86))-SIN(RADIANS(B86))*SIN(RADIANS(B87))*(1-COS(RADIANS(C87-C86)))))))*TAN((ACOS(MIN(1,MAX(-1,COS(RADIANS(B87-B86))-SIN(RADIANS(B86))*SIN(RADIANS(B87))*(1-COS(RADIANS(C87-C86)))))))/2)))</f>
        <v>5449.26336802772</v>
      </c>
      <c r="E87" s="24" t="n">
        <f aca="false">E86+(A87-A86)/2*(SIN(RADIANS(B86))*COS(RADIANS(C86))+SIN(RADIANS(B87))*COS(RADIANS(C87)))*(IF(ACOS(MIN(1,MAX(-1,COS(RADIANS(B87-B86))-SIN(RADIANS(B86))*SIN(RADIANS(B87))*(1-COS(RADIANS(C87-C86))))))=0,1,2/(ACOS(MIN(1,MAX(-1,COS(RADIANS(B87-B86))-SIN(RADIANS(B86))*SIN(RADIANS(B87))*(1-COS(RADIANS(C87-C86)))))))*TAN((ACOS(MIN(1,MAX(-1,COS(RADIANS(B87-B86))-SIN(RADIANS(B86))*SIN(RADIANS(B87))*(1-COS(RADIANS(C87-C86)))))))/2)))</f>
        <v>-1533.38729532437</v>
      </c>
      <c r="F87" s="24" t="n">
        <f aca="false">F86+(A87-A86)/2*(SIN(RADIANS(B86))*SIN(RADIANS(C86))+SIN(RADIANS(B87))*SIN(RADIANS(C87)))*(IF(ACOS(MIN(1,MAX(-1,COS(RADIANS(B87-B86))-SIN(RADIANS(B86))*SIN(RADIANS(B87))*(1-COS(RADIANS(C87-C86))))))=0,1,2/(ACOS(MIN(1,MAX(-1,COS(RADIANS(B87-B86))-SIN(RADIANS(B86))*SIN(RADIANS(B87))*(1-COS(RADIANS(C87-C86)))))))*TAN((ACOS(MIN(1,MAX(-1,COS(RADIANS(B87-B86))-SIN(RADIANS(B86))*SIN(RADIANS(B87))*(1-COS(RADIANS(C87-C86)))))))/2)))</f>
        <v>1131.46065191757</v>
      </c>
      <c r="G87" s="24" t="n">
        <f aca="false">IF(H87=0,0,DEGREES(ACOS(MIN(1,MAX(-1,COS(RADIANS(B87-B86))-SIN(RADIANS(B86))*SIN(RADIANS(B87))*(1-COS(RADIANS(C87-C86)))))))*100/H87)</f>
        <v>0.212110121178965</v>
      </c>
      <c r="H87" s="24" t="n">
        <f aca="false">A87-A86</f>
        <v>93</v>
      </c>
      <c r="I87" s="24" t="n">
        <f aca="false">J87*COS(RADIANS(K87-Well_Data!$B$68))</f>
        <v>1905.59226562243</v>
      </c>
      <c r="J87" s="24" t="n">
        <f aca="false">SQRT(E87^2+F87^2)</f>
        <v>1905.64419666944</v>
      </c>
      <c r="K87" s="24" t="n">
        <f aca="false">IF(J87=0,0,MOD(DEGREES(ATAN2(E87,F87)),360))</f>
        <v>143.577008882542</v>
      </c>
    </row>
    <row r="88" customFormat="false" ht="15" hidden="false" customHeight="true" outlineLevel="0" collapsed="false">
      <c r="A88" s="20" t="n">
        <v>6097</v>
      </c>
      <c r="B88" s="20" t="n">
        <v>35.03</v>
      </c>
      <c r="C88" s="20" t="n">
        <v>144.1</v>
      </c>
      <c r="D88" s="24" t="n">
        <f aca="false">D87+(A88-A87)/2*(COS(RADIANS(B87))+COS(RADIANS(B88)))*(IF(ACOS(MIN(1,MAX(-1,COS(RADIANS(B88-B87))-SIN(RADIANS(B87))*SIN(RADIANS(B88))*(1-COS(RADIANS(C88-C87))))))=0,1,2/(ACOS(MIN(1,MAX(-1,COS(RADIANS(B88-B87))-SIN(RADIANS(B87))*SIN(RADIANS(B88))*(1-COS(RADIANS(C88-C87)))))))*TAN((ACOS(MIN(1,MAX(-1,COS(RADIANS(B88-B87))-SIN(RADIANS(B87))*SIN(RADIANS(B88))*(1-COS(RADIANS(C88-C87)))))))/2)))</f>
        <v>5525.59766668427</v>
      </c>
      <c r="E88" s="24" t="n">
        <f aca="false">E87+(A88-A87)/2*(SIN(RADIANS(B87))*COS(RADIANS(C87))+SIN(RADIANS(B88))*COS(RADIANS(C88)))*(IF(ACOS(MIN(1,MAX(-1,COS(RADIANS(B88-B87))-SIN(RADIANS(B87))*SIN(RADIANS(B88))*(1-COS(RADIANS(C88-C87))))))=0,1,2/(ACOS(MIN(1,MAX(-1,COS(RADIANS(B88-B87))-SIN(RADIANS(B87))*SIN(RADIANS(B88))*(1-COS(RADIANS(C88-C87)))))))*TAN((ACOS(MIN(1,MAX(-1,COS(RADIANS(B88-B87))-SIN(RADIANS(B87))*SIN(RADIANS(B88))*(1-COS(RADIANS(C88-C87)))))))/2)))</f>
        <v>-1576.44607707219</v>
      </c>
      <c r="F88" s="24" t="n">
        <f aca="false">F87+(A88-A87)/2*(SIN(RADIANS(B87))*SIN(RADIANS(C87))+SIN(RADIANS(B88))*SIN(RADIANS(C88)))*(IF(ACOS(MIN(1,MAX(-1,COS(RADIANS(B88-B87))-SIN(RADIANS(B87))*SIN(RADIANS(B88))*(1-COS(RADIANS(C88-C87))))))=0,1,2/(ACOS(MIN(1,MAX(-1,COS(RADIANS(B88-B87))-SIN(RADIANS(B87))*SIN(RADIANS(B88))*(1-COS(RADIANS(C88-C87)))))))*TAN((ACOS(MIN(1,MAX(-1,COS(RADIANS(B88-B87))-SIN(RADIANS(B87))*SIN(RADIANS(B88))*(1-COS(RADIANS(C88-C87)))))))/2)))</f>
        <v>1162.57306186435</v>
      </c>
      <c r="G88" s="24" t="n">
        <f aca="false">IF(H88=0,0,DEGREES(ACOS(MIN(1,MAX(-1,COS(RADIANS(B88-B87))-SIN(RADIANS(B87))*SIN(RADIANS(B88))*(1-COS(RADIANS(C88-C87)))))))*100/H88)</f>
        <v>0.423828870595547</v>
      </c>
      <c r="H88" s="24" t="n">
        <f aca="false">A88-A87</f>
        <v>93</v>
      </c>
      <c r="I88" s="24" t="n">
        <f aca="false">J88*COS(RADIANS(K88-Well_Data!$B$68))</f>
        <v>1958.71496754349</v>
      </c>
      <c r="J88" s="24" t="n">
        <f aca="false">SQRT(E88^2+F88^2)</f>
        <v>1958.76449786312</v>
      </c>
      <c r="K88" s="24" t="n">
        <f aca="false">IF(J88=0,0,MOD(DEGREES(ATAN2(E88,F88)),360))</f>
        <v>143.592541859665</v>
      </c>
    </row>
    <row r="89" customFormat="false" ht="15" hidden="false" customHeight="true" outlineLevel="0" collapsed="false">
      <c r="A89" s="20" t="n">
        <v>6190</v>
      </c>
      <c r="B89" s="20" t="n">
        <v>34.66</v>
      </c>
      <c r="C89" s="20" t="n">
        <v>144.33</v>
      </c>
      <c r="D89" s="24" t="n">
        <f aca="false">D88+(A89-A88)/2*(COS(RADIANS(B88))+COS(RADIANS(B89)))*(IF(ACOS(MIN(1,MAX(-1,COS(RADIANS(B89-B88))-SIN(RADIANS(B88))*SIN(RADIANS(B89))*(1-COS(RADIANS(C89-C88))))))=0,1,2/(ACOS(MIN(1,MAX(-1,COS(RADIANS(B89-B88))-SIN(RADIANS(B88))*SIN(RADIANS(B89))*(1-COS(RADIANS(C89-C88)))))))*TAN((ACOS(MIN(1,MAX(-1,COS(RADIANS(B89-B88))-SIN(RADIANS(B88))*SIN(RADIANS(B89))*(1-COS(RADIANS(C89-C88)))))))/2)))</f>
        <v>5601.92273434412</v>
      </c>
      <c r="E89" s="24" t="n">
        <f aca="false">E88+(A89-A88)/2*(SIN(RADIANS(B88))*COS(RADIANS(C88))+SIN(RADIANS(B89))*COS(RADIANS(C89)))*(IF(ACOS(MIN(1,MAX(-1,COS(RADIANS(B89-B88))-SIN(RADIANS(B88))*SIN(RADIANS(B89))*(1-COS(RADIANS(C89-C88))))))=0,1,2/(ACOS(MIN(1,MAX(-1,COS(RADIANS(B89-B88))-SIN(RADIANS(B88))*SIN(RADIANS(B89))*(1-COS(RADIANS(C89-C88)))))))*TAN((ACOS(MIN(1,MAX(-1,COS(RADIANS(B89-B88))-SIN(RADIANS(B88))*SIN(RADIANS(B89))*(1-COS(RADIANS(C89-C88)))))))/2)))</f>
        <v>-1619.55073063214</v>
      </c>
      <c r="F89" s="24" t="n">
        <f aca="false">F88+(A89-A88)/2*(SIN(RADIANS(B88))*SIN(RADIANS(C88))+SIN(RADIANS(B89))*SIN(RADIANS(C89)))*(IF(ACOS(MIN(1,MAX(-1,COS(RADIANS(B89-B88))-SIN(RADIANS(B88))*SIN(RADIANS(B89))*(1-COS(RADIANS(C89-C88))))))=0,1,2/(ACOS(MIN(1,MAX(-1,COS(RADIANS(B89-B88))-SIN(RADIANS(B88))*SIN(RADIANS(B89))*(1-COS(RADIANS(C89-C88)))))))*TAN((ACOS(MIN(1,MAX(-1,COS(RADIANS(B89-B88))-SIN(RADIANS(B88))*SIN(RADIANS(B89))*(1-COS(RADIANS(C89-C88)))))))/2)))</f>
        <v>1193.64457679411</v>
      </c>
      <c r="G89" s="24" t="n">
        <f aca="false">IF(H89=0,0,DEGREES(ACOS(MIN(1,MAX(-1,COS(RADIANS(B89-B88))-SIN(RADIANS(B88))*SIN(RADIANS(B89))*(1-COS(RADIANS(C89-C88)))))))*100/H89)</f>
        <v>0.422197116422711</v>
      </c>
      <c r="H89" s="24" t="n">
        <f aca="false">A89-A88</f>
        <v>93</v>
      </c>
      <c r="I89" s="24" t="n">
        <f aca="false">J89*COS(RADIANS(K89-Well_Data!$B$68))</f>
        <v>2011.85074305223</v>
      </c>
      <c r="J89" s="24" t="n">
        <f aca="false">SQRT(E89^2+F89^2)</f>
        <v>2011.89759799078</v>
      </c>
      <c r="K89" s="24" t="n">
        <f aca="false">IF(J89=0,0,MOD(DEGREES(ATAN2(E89,F89)),360))</f>
        <v>143.608967167917</v>
      </c>
    </row>
    <row r="90" customFormat="false" ht="15" hidden="false" customHeight="true" outlineLevel="0" collapsed="false">
      <c r="A90" s="20" t="n">
        <v>6283</v>
      </c>
      <c r="B90" s="20" t="n">
        <v>35.05</v>
      </c>
      <c r="C90" s="20" t="n">
        <v>144.22</v>
      </c>
      <c r="D90" s="24" t="n">
        <f aca="false">D89+(A90-A89)/2*(COS(RADIANS(B89))+COS(RADIANS(B90)))*(IF(ACOS(MIN(1,MAX(-1,COS(RADIANS(B90-B89))-SIN(RADIANS(B89))*SIN(RADIANS(B90))*(1-COS(RADIANS(C90-C89))))))=0,1,2/(ACOS(MIN(1,MAX(-1,COS(RADIANS(B90-B89))-SIN(RADIANS(B89))*SIN(RADIANS(B90))*(1-COS(RADIANS(C90-C89)))))))*TAN((ACOS(MIN(1,MAX(-1,COS(RADIANS(B90-B89))-SIN(RADIANS(B89))*SIN(RADIANS(B90))*(1-COS(RADIANS(C90-C89)))))))/2)))</f>
        <v>5678.23848629403</v>
      </c>
      <c r="E90" s="24" t="n">
        <f aca="false">E89+(A90-A89)/2*(SIN(RADIANS(B89))*COS(RADIANS(C89))+SIN(RADIANS(B90))*COS(RADIANS(C90)))*(IF(ACOS(MIN(1,MAX(-1,COS(RADIANS(B90-B89))-SIN(RADIANS(B89))*SIN(RADIANS(B90))*(1-COS(RADIANS(C90-C89))))))=0,1,2/(ACOS(MIN(1,MAX(-1,COS(RADIANS(B90-B89))-SIN(RADIANS(B89))*SIN(RADIANS(B90))*(1-COS(RADIANS(C90-C89)))))))*TAN((ACOS(MIN(1,MAX(-1,COS(RADIANS(B90-B89))-SIN(RADIANS(B89))*SIN(RADIANS(B90))*(1-COS(RADIANS(C90-C89)))))))/2)))</f>
        <v>-1662.69889981387</v>
      </c>
      <c r="F90" s="24" t="n">
        <f aca="false">F89+(A90-A89)/2*(SIN(RADIANS(B89))*SIN(RADIANS(C89))+SIN(RADIANS(B90))*SIN(RADIANS(C90)))*(IF(ACOS(MIN(1,MAX(-1,COS(RADIANS(B90-B89))-SIN(RADIANS(B89))*SIN(RADIANS(B90))*(1-COS(RADIANS(C90-C89))))))=0,1,2/(ACOS(MIN(1,MAX(-1,COS(RADIANS(B90-B89))-SIN(RADIANS(B89))*SIN(RADIANS(B90))*(1-COS(RADIANS(C90-C89)))))))*TAN((ACOS(MIN(1,MAX(-1,COS(RADIANS(B90-B89))-SIN(RADIANS(B89))*SIN(RADIANS(B90))*(1-COS(RADIANS(C90-C89)))))))/2)))</f>
        <v>1224.67854590816</v>
      </c>
      <c r="G90" s="24" t="n">
        <f aca="false">IF(H90=0,0,DEGREES(ACOS(MIN(1,MAX(-1,COS(RADIANS(B90-B89))-SIN(RADIANS(B89))*SIN(RADIANS(B90))*(1-COS(RADIANS(C90-C89)))))))*100/H90)</f>
        <v>0.424767820966084</v>
      </c>
      <c r="H90" s="24" t="n">
        <f aca="false">A90-A89</f>
        <v>93</v>
      </c>
      <c r="I90" s="24" t="n">
        <f aca="false">J90*COS(RADIANS(K90-Well_Data!$B$68))</f>
        <v>2064.99965456175</v>
      </c>
      <c r="J90" s="24" t="n">
        <f aca="false">SQRT(E90^2+F90^2)</f>
        <v>2065.04362478132</v>
      </c>
      <c r="K90" s="24" t="n">
        <f aca="false">IF(J90=0,0,MOD(DEGREES(ATAN2(E90,F90)),360))</f>
        <v>143.626102033977</v>
      </c>
    </row>
    <row r="91" customFormat="false" ht="15" hidden="false" customHeight="true" outlineLevel="0" collapsed="false">
      <c r="A91" s="20" t="n">
        <v>6376</v>
      </c>
      <c r="B91" s="20" t="n">
        <v>34.73</v>
      </c>
      <c r="C91" s="20" t="n">
        <v>144.21</v>
      </c>
      <c r="D91" s="24" t="n">
        <f aca="false">D90+(A91-A90)/2*(COS(RADIANS(B90))+COS(RADIANS(B91)))*(IF(ACOS(MIN(1,MAX(-1,COS(RADIANS(B91-B90))-SIN(RADIANS(B90))*SIN(RADIANS(B91))*(1-COS(RADIANS(C91-C90))))))=0,1,2/(ACOS(MIN(1,MAX(-1,COS(RADIANS(B91-B90))-SIN(RADIANS(B90))*SIN(RADIANS(B91))*(1-COS(RADIANS(C91-C90)))))))*TAN((ACOS(MIN(1,MAX(-1,COS(RADIANS(B91-B90))-SIN(RADIANS(B90))*SIN(RADIANS(B91))*(1-COS(RADIANS(C91-C90)))))))/2)))</f>
        <v>5754.52179732754</v>
      </c>
      <c r="E91" s="24" t="n">
        <f aca="false">E90+(A91-A90)/2*(SIN(RADIANS(B90))*COS(RADIANS(C90))+SIN(RADIANS(B91))*COS(RADIANS(C91)))*(IF(ACOS(MIN(1,MAX(-1,COS(RADIANS(B91-B90))-SIN(RADIANS(B90))*SIN(RADIANS(B91))*(1-COS(RADIANS(C91-C90))))))=0,1,2/(ACOS(MIN(1,MAX(-1,COS(RADIANS(B91-B90))-SIN(RADIANS(B90))*SIN(RADIANS(B91))*(1-COS(RADIANS(C91-C90)))))))*TAN((ACOS(MIN(1,MAX(-1,COS(RADIANS(B91-B90))-SIN(RADIANS(B90))*SIN(RADIANS(B91))*(1-COS(RADIANS(C91-C90)))))))/2)))</f>
        <v>-1705.85255572153</v>
      </c>
      <c r="F91" s="24" t="n">
        <f aca="false">F90+(A91-A90)/2*(SIN(RADIANS(B90))*SIN(RADIANS(C90))+SIN(RADIANS(B91))*SIN(RADIANS(C91)))*(IF(ACOS(MIN(1,MAX(-1,COS(RADIANS(B91-B90))-SIN(RADIANS(B90))*SIN(RADIANS(B91))*(1-COS(RADIANS(C91-C90))))))=0,1,2/(ACOS(MIN(1,MAX(-1,COS(RADIANS(B91-B90))-SIN(RADIANS(B90))*SIN(RADIANS(B91))*(1-COS(RADIANS(C91-C90)))))))*TAN((ACOS(MIN(1,MAX(-1,COS(RADIANS(B91-B90))-SIN(RADIANS(B90))*SIN(RADIANS(B91))*(1-COS(RADIANS(C91-C90)))))))/2)))</f>
        <v>1255.78475027611</v>
      </c>
      <c r="G91" s="24" t="n">
        <f aca="false">IF(H91=0,0,DEGREES(ACOS(MIN(1,MAX(-1,COS(RADIANS(B91-B90))-SIN(RADIANS(B90))*SIN(RADIANS(B91))*(1-COS(RADIANS(C91-C90)))))))*100/H91)</f>
        <v>0.344140987043561</v>
      </c>
      <c r="H91" s="24" t="n">
        <f aca="false">A91-A90</f>
        <v>93</v>
      </c>
      <c r="I91" s="24" t="n">
        <f aca="false">J91*COS(RADIANS(K91-Well_Data!$B$68))</f>
        <v>2118.19546374274</v>
      </c>
      <c r="J91" s="24" t="n">
        <f aca="false">SQRT(E91^2+F91^2)</f>
        <v>2118.23706909489</v>
      </c>
      <c r="K91" s="24" t="n">
        <f aca="false">IF(J91=0,0,MOD(DEGREES(ATAN2(E91,F91)),360))</f>
        <v>143.640891520348</v>
      </c>
    </row>
    <row r="92" customFormat="false" ht="15" hidden="false" customHeight="true" outlineLevel="0" collapsed="false">
      <c r="A92" s="20" t="n">
        <v>6469</v>
      </c>
      <c r="B92" s="20" t="n">
        <v>34.84</v>
      </c>
      <c r="C92" s="20" t="n">
        <v>144.18</v>
      </c>
      <c r="D92" s="24" t="n">
        <f aca="false">D91+(A92-A91)/2*(COS(RADIANS(B91))+COS(RADIANS(B92)))*(IF(ACOS(MIN(1,MAX(-1,COS(RADIANS(B92-B91))-SIN(RADIANS(B91))*SIN(RADIANS(B92))*(1-COS(RADIANS(C92-C91))))))=0,1,2/(ACOS(MIN(1,MAX(-1,COS(RADIANS(B92-B91))-SIN(RADIANS(B91))*SIN(RADIANS(B92))*(1-COS(RADIANS(C92-C91)))))))*TAN((ACOS(MIN(1,MAX(-1,COS(RADIANS(B92-B91))-SIN(RADIANS(B91))*SIN(RADIANS(B92))*(1-COS(RADIANS(C92-C91)))))))/2)))</f>
        <v>5830.90255535633</v>
      </c>
      <c r="E92" s="24" t="n">
        <f aca="false">E91+(A92-A91)/2*(SIN(RADIANS(B91))*COS(RADIANS(C91))+SIN(RADIANS(B92))*COS(RADIANS(C92)))*(IF(ACOS(MIN(1,MAX(-1,COS(RADIANS(B92-B91))-SIN(RADIANS(B91))*SIN(RADIANS(B92))*(1-COS(RADIANS(C92-C91))))))=0,1,2/(ACOS(MIN(1,MAX(-1,COS(RADIANS(B92-B91))-SIN(RADIANS(B91))*SIN(RADIANS(B92))*(1-COS(RADIANS(C92-C91)))))))*TAN((ACOS(MIN(1,MAX(-1,COS(RADIANS(B92-B91))-SIN(RADIANS(B91))*SIN(RADIANS(B92))*(1-COS(RADIANS(C92-C91)))))))/2)))</f>
        <v>-1748.88192796887</v>
      </c>
      <c r="F92" s="24" t="n">
        <f aca="false">F91+(A92-A91)/2*(SIN(RADIANS(B91))*SIN(RADIANS(C91))+SIN(RADIANS(B92))*SIN(RADIANS(C92)))*(IF(ACOS(MIN(1,MAX(-1,COS(RADIANS(B92-B91))-SIN(RADIANS(B91))*SIN(RADIANS(B92))*(1-COS(RADIANS(C92-C91))))))=0,1,2/(ACOS(MIN(1,MAX(-1,COS(RADIANS(B92-B91))-SIN(RADIANS(B91))*SIN(RADIANS(B92))*(1-COS(RADIANS(C92-C91)))))))*TAN((ACOS(MIN(1,MAX(-1,COS(RADIANS(B92-B91))-SIN(RADIANS(B91))*SIN(RADIANS(B92))*(1-COS(RADIANS(C92-C91)))))))/2)))</f>
        <v>1286.82424457038</v>
      </c>
      <c r="G92" s="24" t="n">
        <f aca="false">IF(H92=0,0,DEGREES(ACOS(MIN(1,MAX(-1,COS(RADIANS(B92-B91))-SIN(RADIANS(B91))*SIN(RADIANS(B92))*(1-COS(RADIANS(C92-C91)))))))*100/H92)</f>
        <v>0.119702685524528</v>
      </c>
      <c r="H92" s="24" t="n">
        <f aca="false">A92-A91</f>
        <v>93</v>
      </c>
      <c r="I92" s="24" t="n">
        <f aca="false">J92*COS(RADIANS(K92-Well_Data!$B$68))</f>
        <v>2171.25151413291</v>
      </c>
      <c r="J92" s="24" t="n">
        <f aca="false">SQRT(E92^2+F92^2)</f>
        <v>2171.29100638082</v>
      </c>
      <c r="K92" s="24" t="n">
        <f aca="false">IF(J92=0,0,MOD(DEGREES(ATAN2(E92,F92)),360))</f>
        <v>143.654430663563</v>
      </c>
    </row>
    <row r="93" customFormat="false" ht="15" hidden="false" customHeight="true" outlineLevel="0" collapsed="false">
      <c r="A93" s="20" t="n">
        <v>6562</v>
      </c>
      <c r="B93" s="20" t="n">
        <v>34.73</v>
      </c>
      <c r="C93" s="20" t="n">
        <v>144.17</v>
      </c>
      <c r="D93" s="24" t="n">
        <f aca="false">D92+(A93-A92)/2*(COS(RADIANS(B92))+COS(RADIANS(B93)))*(IF(ACOS(MIN(1,MAX(-1,COS(RADIANS(B93-B92))-SIN(RADIANS(B92))*SIN(RADIANS(B93))*(1-COS(RADIANS(C93-C92))))))=0,1,2/(ACOS(MIN(1,MAX(-1,COS(RADIANS(B93-B92))-SIN(RADIANS(B92))*SIN(RADIANS(B93))*(1-COS(RADIANS(C93-C92)))))))*TAN((ACOS(MIN(1,MAX(-1,COS(RADIANS(B93-B92))-SIN(RADIANS(B92))*SIN(RADIANS(B93))*(1-COS(RADIANS(C93-C92)))))))/2)))</f>
        <v>5907.28331288028</v>
      </c>
      <c r="E93" s="24" t="n">
        <f aca="false">E92+(A93-A92)/2*(SIN(RADIANS(B92))*COS(RADIANS(C92))+SIN(RADIANS(B93))*COS(RADIANS(C93)))*(IF(ACOS(MIN(1,MAX(-1,COS(RADIANS(B93-B92))-SIN(RADIANS(B92))*SIN(RADIANS(B93))*(1-COS(RADIANS(C93-C92))))))=0,1,2/(ACOS(MIN(1,MAX(-1,COS(RADIANS(B93-B92))-SIN(RADIANS(B92))*SIN(RADIANS(B93))*(1-COS(RADIANS(C93-C92)))))))*TAN((ACOS(MIN(1,MAX(-1,COS(RADIANS(B93-B92))-SIN(RADIANS(B92))*SIN(RADIANS(B93))*(1-COS(RADIANS(C93-C92)))))))/2)))</f>
        <v>-1791.90047877378</v>
      </c>
      <c r="F93" s="24" t="n">
        <f aca="false">F92+(A93-A92)/2*(SIN(RADIANS(B92))*SIN(RADIANS(C92))+SIN(RADIANS(B93))*SIN(RADIANS(C93)))*(IF(ACOS(MIN(1,MAX(-1,COS(RADIANS(B93-B92))-SIN(RADIANS(B92))*SIN(RADIANS(B93))*(1-COS(RADIANS(C93-C92))))))=0,1,2/(ACOS(MIN(1,MAX(-1,COS(RADIANS(B93-B92))-SIN(RADIANS(B92))*SIN(RADIANS(B93))*(1-COS(RADIANS(C93-C92)))))))*TAN((ACOS(MIN(1,MAX(-1,COS(RADIANS(B93-B92))-SIN(RADIANS(B92))*SIN(RADIANS(B93))*(1-COS(RADIANS(C93-C92)))))))/2)))</f>
        <v>1317.87873704693</v>
      </c>
      <c r="G93" s="24" t="n">
        <f aca="false">IF(H93=0,0,DEGREES(ACOS(MIN(1,MAX(-1,COS(RADIANS(B93-B92))-SIN(RADIANS(B92))*SIN(RADIANS(B93))*(1-COS(RADIANS(C93-C92)))))))*100/H93)</f>
        <v>0.118438538282405</v>
      </c>
      <c r="H93" s="24" t="n">
        <f aca="false">A93-A92</f>
        <v>93</v>
      </c>
      <c r="I93" s="24" t="n">
        <f aca="false">J93*COS(RADIANS(K93-Well_Data!$B$68))</f>
        <v>2224.3076255026</v>
      </c>
      <c r="J93" s="24" t="n">
        <f aca="false">SQRT(E93^2+F93^2)</f>
        <v>2224.34522756475</v>
      </c>
      <c r="K93" s="24" t="n">
        <f aca="false">IF(J93=0,0,MOD(DEGREES(ATAN2(E93,F93)),360))</f>
        <v>143.666847576189</v>
      </c>
    </row>
    <row r="94" customFormat="false" ht="15" hidden="false" customHeight="true" outlineLevel="0" collapsed="false">
      <c r="A94" s="20" t="n">
        <v>6655</v>
      </c>
      <c r="B94" s="20" t="n">
        <v>34.96</v>
      </c>
      <c r="C94" s="20" t="n">
        <v>144.13</v>
      </c>
      <c r="D94" s="24" t="n">
        <f aca="false">D93+(A94-A93)/2*(COS(RADIANS(B93))+COS(RADIANS(B94)))*(IF(ACOS(MIN(1,MAX(-1,COS(RADIANS(B94-B93))-SIN(RADIANS(B93))*SIN(RADIANS(B94))*(1-COS(RADIANS(C94-C93))))))=0,1,2/(ACOS(MIN(1,MAX(-1,COS(RADIANS(B94-B93))-SIN(RADIANS(B93))*SIN(RADIANS(B94))*(1-COS(RADIANS(C94-C93)))))))*TAN((ACOS(MIN(1,MAX(-1,COS(RADIANS(B94-B93))-SIN(RADIANS(B93))*SIN(RADIANS(B94))*(1-COS(RADIANS(C94-C93)))))))/2)))</f>
        <v>5983.60842946864</v>
      </c>
      <c r="E94" s="24" t="n">
        <f aca="false">E93+(A94-A93)/2*(SIN(RADIANS(B93))*COS(RADIANS(C93))+SIN(RADIANS(B94))*COS(RADIANS(C94)))*(IF(ACOS(MIN(1,MAX(-1,COS(RADIANS(B94-B93))-SIN(RADIANS(B93))*SIN(RADIANS(B94))*(1-COS(RADIANS(C94-C93))))))=0,1,2/(ACOS(MIN(1,MAX(-1,COS(RADIANS(B94-B93))-SIN(RADIANS(B93))*SIN(RADIANS(B94))*(1-COS(RADIANS(C94-C93)))))))*TAN((ACOS(MIN(1,MAX(-1,COS(RADIANS(B94-B93))-SIN(RADIANS(B93))*SIN(RADIANS(B94))*(1-COS(RADIANS(C94-C93)))))))/2)))</f>
        <v>-1834.97022520577</v>
      </c>
      <c r="F94" s="24" t="n">
        <f aca="false">F93+(A94-A93)/2*(SIN(RADIANS(B93))*SIN(RADIANS(C93))+SIN(RADIANS(B94))*SIN(RADIANS(C94)))*(IF(ACOS(MIN(1,MAX(-1,COS(RADIANS(B94-B93))-SIN(RADIANS(B93))*SIN(RADIANS(B94))*(1-COS(RADIANS(C94-C93))))))=0,1,2/(ACOS(MIN(1,MAX(-1,COS(RADIANS(B94-B93))-SIN(RADIANS(B93))*SIN(RADIANS(B94))*(1-COS(RADIANS(C94-C93)))))))*TAN((ACOS(MIN(1,MAX(-1,COS(RADIANS(B94-B93))-SIN(RADIANS(B93))*SIN(RADIANS(B94))*(1-COS(RADIANS(C94-C93)))))))/2)))</f>
        <v>1348.99885579724</v>
      </c>
      <c r="G94" s="24" t="n">
        <f aca="false">IF(H94=0,0,DEGREES(ACOS(MIN(1,MAX(-1,COS(RADIANS(B94-B93))-SIN(RADIANS(B93))*SIN(RADIANS(B94))*(1-COS(RADIANS(C94-C93)))))))*100/H94)</f>
        <v>0.248529762761382</v>
      </c>
      <c r="H94" s="24" t="n">
        <f aca="false">A94-A93</f>
        <v>93</v>
      </c>
      <c r="I94" s="24" t="n">
        <f aca="false">J94*COS(RADIANS(K94-Well_Data!$B$68))</f>
        <v>2277.44372916053</v>
      </c>
      <c r="J94" s="24" t="n">
        <f aca="false">SQRT(E94^2+F94^2)</f>
        <v>2277.47966847873</v>
      </c>
      <c r="K94" s="24" t="n">
        <f aca="false">IF(J94=0,0,MOD(DEGREES(ATAN2(E94,F94)),360))</f>
        <v>143.678118613056</v>
      </c>
    </row>
    <row r="95" customFormat="false" ht="15" hidden="false" customHeight="true" outlineLevel="0" collapsed="false">
      <c r="A95" s="20" t="n">
        <v>6748</v>
      </c>
      <c r="B95" s="20" t="n">
        <v>34.83</v>
      </c>
      <c r="C95" s="20" t="n">
        <v>144.16</v>
      </c>
      <c r="D95" s="24" t="n">
        <f aca="false">D94+(A95-A94)/2*(COS(RADIANS(B94))+COS(RADIANS(B95)))*(IF(ACOS(MIN(1,MAX(-1,COS(RADIANS(B95-B94))-SIN(RADIANS(B94))*SIN(RADIANS(B95))*(1-COS(RADIANS(C95-C94))))))=0,1,2/(ACOS(MIN(1,MAX(-1,COS(RADIANS(B95-B94))-SIN(RADIANS(B94))*SIN(RADIANS(B95))*(1-COS(RADIANS(C95-C94)))))))*TAN((ACOS(MIN(1,MAX(-1,COS(RADIANS(B95-B94))-SIN(RADIANS(B94))*SIN(RADIANS(B95))*(1-COS(RADIANS(C95-C94)))))))/2)))</f>
        <v>6059.88718125351</v>
      </c>
      <c r="E95" s="24" t="n">
        <f aca="false">E94+(A95-A94)/2*(SIN(RADIANS(B94))*COS(RADIANS(C94))+SIN(RADIANS(B95))*COS(RADIANS(C95)))*(IF(ACOS(MIN(1,MAX(-1,COS(RADIANS(B95-B94))-SIN(RADIANS(B94))*SIN(RADIANS(B95))*(1-COS(RADIANS(C95-C94))))))=0,1,2/(ACOS(MIN(1,MAX(-1,COS(RADIANS(B95-B94))-SIN(RADIANS(B94))*SIN(RADIANS(B95))*(1-COS(RADIANS(C95-C94)))))))*TAN((ACOS(MIN(1,MAX(-1,COS(RADIANS(B95-B94))-SIN(RADIANS(B94))*SIN(RADIANS(B95))*(1-COS(RADIANS(C95-C94)))))))/2)))</f>
        <v>-1878.09126245495</v>
      </c>
      <c r="F95" s="24" t="n">
        <f aca="false">F94+(A95-A94)/2*(SIN(RADIANS(B94))*SIN(RADIANS(C94))+SIN(RADIANS(B95))*SIN(RADIANS(C95)))*(IF(ACOS(MIN(1,MAX(-1,COS(RADIANS(B95-B94))-SIN(RADIANS(B94))*SIN(RADIANS(B95))*(1-COS(RADIANS(C95-C94))))))=0,1,2/(ACOS(MIN(1,MAX(-1,COS(RADIANS(B95-B94))-SIN(RADIANS(B94))*SIN(RADIANS(B95))*(1-COS(RADIANS(C95-C94)))))))*TAN((ACOS(MIN(1,MAX(-1,COS(RADIANS(B95-B94))-SIN(RADIANS(B94))*SIN(RADIANS(B95))*(1-COS(RADIANS(C95-C94)))))))/2)))</f>
        <v>1380.16172468931</v>
      </c>
      <c r="G95" s="24" t="n">
        <f aca="false">IF(H95=0,0,DEGREES(ACOS(MIN(1,MAX(-1,COS(RADIANS(B95-B94))-SIN(RADIANS(B94))*SIN(RADIANS(B95))*(1-COS(RADIANS(C95-C94)))))))*100/H95)</f>
        <v>0.140997803580079</v>
      </c>
      <c r="H95" s="24" t="n">
        <f aca="false">A95-A94</f>
        <v>93</v>
      </c>
      <c r="I95" s="24" t="n">
        <f aca="false">J95*COS(RADIANS(K95-Well_Data!$B$68))</f>
        <v>2330.64645586408</v>
      </c>
      <c r="J95" s="24" t="n">
        <f aca="false">SQRT(E95^2+F95^2)</f>
        <v>2330.68083967046</v>
      </c>
      <c r="K95" s="24" t="n">
        <f aca="false">IF(J95=0,0,MOD(DEGREES(ATAN2(E95,F95)),360))</f>
        <v>143.68877552892</v>
      </c>
    </row>
    <row r="96" customFormat="false" ht="15" hidden="false" customHeight="true" outlineLevel="0" collapsed="false">
      <c r="A96" s="20" t="n">
        <v>6841</v>
      </c>
      <c r="B96" s="20" t="n">
        <v>34.86</v>
      </c>
      <c r="C96" s="20" t="n">
        <v>144.24</v>
      </c>
      <c r="D96" s="24" t="n">
        <f aca="false">D95+(A96-A95)/2*(COS(RADIANS(B95))+COS(RADIANS(B96)))*(IF(ACOS(MIN(1,MAX(-1,COS(RADIANS(B96-B95))-SIN(RADIANS(B95))*SIN(RADIANS(B96))*(1-COS(RADIANS(C96-C95))))))=0,1,2/(ACOS(MIN(1,MAX(-1,COS(RADIANS(B96-B95))-SIN(RADIANS(B95))*SIN(RADIANS(B96))*(1-COS(RADIANS(C96-C95)))))))*TAN((ACOS(MIN(1,MAX(-1,COS(RADIANS(B96-B95))-SIN(RADIANS(B95))*SIN(RADIANS(B96))*(1-COS(RADIANS(C96-C95)))))))/2)))</f>
        <v>6136.2123512528</v>
      </c>
      <c r="E96" s="24" t="n">
        <f aca="false">E95+(A96-A95)/2*(SIN(RADIANS(B95))*COS(RADIANS(C95))+SIN(RADIANS(B96))*COS(RADIANS(C96)))*(IF(ACOS(MIN(1,MAX(-1,COS(RADIANS(B96-B95))-SIN(RADIANS(B95))*SIN(RADIANS(B96))*(1-COS(RADIANS(C96-C95))))))=0,1,2/(ACOS(MIN(1,MAX(-1,COS(RADIANS(B96-B95))-SIN(RADIANS(B95))*SIN(RADIANS(B96))*(1-COS(RADIANS(C96-C95)))))))*TAN((ACOS(MIN(1,MAX(-1,COS(RADIANS(B96-B95))-SIN(RADIANS(B95))*SIN(RADIANS(B96))*(1-COS(RADIANS(C96-C95)))))))/2)))</f>
        <v>-1921.18821163289</v>
      </c>
      <c r="F96" s="24" t="n">
        <f aca="false">F95+(A96-A95)/2*(SIN(RADIANS(B95))*SIN(RADIANS(C95))+SIN(RADIANS(B96))*SIN(RADIANS(C96)))*(IF(ACOS(MIN(1,MAX(-1,COS(RADIANS(B96-B95))-SIN(RADIANS(B95))*SIN(RADIANS(B96))*(1-COS(RADIANS(C96-C95))))))=0,1,2/(ACOS(MIN(1,MAX(-1,COS(RADIANS(B96-B95))-SIN(RADIANS(B95))*SIN(RADIANS(B96))*(1-COS(RADIANS(C96-C95)))))))*TAN((ACOS(MIN(1,MAX(-1,COS(RADIANS(B96-B95))-SIN(RADIANS(B95))*SIN(RADIANS(B96))*(1-COS(RADIANS(C96-C95)))))))/2)))</f>
        <v>1411.24420753462</v>
      </c>
      <c r="G96" s="24" t="n">
        <f aca="false">IF(H96=0,0,DEGREES(ACOS(MIN(1,MAX(-1,COS(RADIANS(B96-B95))-SIN(RADIANS(B95))*SIN(RADIANS(B96))*(1-COS(RADIANS(C96-C95)))))))*100/H96)</f>
        <v>0.0587895941185553</v>
      </c>
      <c r="H96" s="24" t="n">
        <f aca="false">A96-A95</f>
        <v>93</v>
      </c>
      <c r="I96" s="24" t="n">
        <f aca="false">J96*COS(RADIANS(K96-Well_Data!$B$68))</f>
        <v>2383.78244517584</v>
      </c>
      <c r="J96" s="24" t="n">
        <f aca="false">SQRT(E96^2+F96^2)</f>
        <v>2383.81508465258</v>
      </c>
      <c r="K96" s="24" t="n">
        <f aca="false">IF(J96=0,0,MOD(DEGREES(ATAN2(E96,F96)),360))</f>
        <v>143.700171137042</v>
      </c>
    </row>
    <row r="97" customFormat="false" ht="15" hidden="false" customHeight="true" outlineLevel="0" collapsed="false">
      <c r="A97" s="20" t="n">
        <v>6934</v>
      </c>
      <c r="B97" s="20" t="n">
        <v>34.84</v>
      </c>
      <c r="C97" s="20" t="n">
        <v>144.55</v>
      </c>
      <c r="D97" s="24" t="n">
        <f aca="false">D96+(A97-A96)/2*(COS(RADIANS(B96))+COS(RADIANS(B97)))*(IF(ACOS(MIN(1,MAX(-1,COS(RADIANS(B97-B96))-SIN(RADIANS(B96))*SIN(RADIANS(B97))*(1-COS(RADIANS(C97-C96))))))=0,1,2/(ACOS(MIN(1,MAX(-1,COS(RADIANS(B97-B96))-SIN(RADIANS(B96))*SIN(RADIANS(B97))*(1-COS(RADIANS(C97-C96)))))))*TAN((ACOS(MIN(1,MAX(-1,COS(RADIANS(B97-B96))-SIN(RADIANS(B96))*SIN(RADIANS(B97))*(1-COS(RADIANS(C97-C96)))))))/2)))</f>
        <v>6212.53294117332</v>
      </c>
      <c r="E97" s="24" t="n">
        <f aca="false">E96+(A97-A96)/2*(SIN(RADIANS(B96))*COS(RADIANS(C96))+SIN(RADIANS(B97))*COS(RADIANS(C97)))*(IF(ACOS(MIN(1,MAX(-1,COS(RADIANS(B97-B96))-SIN(RADIANS(B96))*SIN(RADIANS(B97))*(1-COS(RADIANS(C97-C96))))))=0,1,2/(ACOS(MIN(1,MAX(-1,COS(RADIANS(B97-B96))-SIN(RADIANS(B96))*SIN(RADIANS(B97))*(1-COS(RADIANS(C97-C96)))))))*TAN((ACOS(MIN(1,MAX(-1,COS(RADIANS(B97-B96))-SIN(RADIANS(B96))*SIN(RADIANS(B97))*(1-COS(RADIANS(C97-C96)))))))/2)))</f>
        <v>-1964.39596786302</v>
      </c>
      <c r="F97" s="24" t="n">
        <f aca="false">F96+(A97-A96)/2*(SIN(RADIANS(B96))*SIN(RADIANS(C96))+SIN(RADIANS(B97))*SIN(RADIANS(C97)))*(IF(ACOS(MIN(1,MAX(-1,COS(RADIANS(B97-B96))-SIN(RADIANS(B96))*SIN(RADIANS(B97))*(1-COS(RADIANS(C97-C96))))))=0,1,2/(ACOS(MIN(1,MAX(-1,COS(RADIANS(B97-B96))-SIN(RADIANS(B96))*SIN(RADIANS(B97))*(1-COS(RADIANS(C97-C96)))))))*TAN((ACOS(MIN(1,MAX(-1,COS(RADIANS(B97-B96))-SIN(RADIANS(B96))*SIN(RADIANS(B97))*(1-COS(RADIANS(C97-C96)))))))/2)))</f>
        <v>1442.18367065887</v>
      </c>
      <c r="G97" s="24" t="n">
        <f aca="false">IF(H97=0,0,DEGREES(ACOS(MIN(1,MAX(-1,COS(RADIANS(B97-B96))-SIN(RADIANS(B96))*SIN(RADIANS(B97))*(1-COS(RADIANS(C97-C96)))))))*100/H97)</f>
        <v>0.191686649632265</v>
      </c>
      <c r="H97" s="24" t="n">
        <f aca="false">A97-A96</f>
        <v>93</v>
      </c>
      <c r="I97" s="24" t="n">
        <f aca="false">J97*COS(RADIANS(K97-Well_Data!$B$68))</f>
        <v>2436.92401439312</v>
      </c>
      <c r="J97" s="24" t="n">
        <f aca="false">SQRT(E97^2+F97^2)</f>
        <v>2436.95409445307</v>
      </c>
      <c r="K97" s="24" t="n">
        <f aca="false">IF(J97=0,0,MOD(DEGREES(ATAN2(E97,F97)),360))</f>
        <v>143.715322101257</v>
      </c>
    </row>
    <row r="98" customFormat="false" ht="15" hidden="false" customHeight="true" outlineLevel="0" collapsed="false">
      <c r="A98" s="20" t="n">
        <v>7027</v>
      </c>
      <c r="B98" s="20" t="n">
        <v>34.85</v>
      </c>
      <c r="C98" s="20" t="n">
        <v>144.45</v>
      </c>
      <c r="D98" s="24" t="n">
        <f aca="false">D97+(A98-A97)/2*(COS(RADIANS(B97))+COS(RADIANS(B98)))*(IF(ACOS(MIN(1,MAX(-1,COS(RADIANS(B98-B97))-SIN(RADIANS(B97))*SIN(RADIANS(B98))*(1-COS(RADIANS(C98-C97))))))=0,1,2/(ACOS(MIN(1,MAX(-1,COS(RADIANS(B98-B97))-SIN(RADIANS(B97))*SIN(RADIANS(B98))*(1-COS(RADIANS(C98-C97)))))))*TAN((ACOS(MIN(1,MAX(-1,COS(RADIANS(B98-B97))-SIN(RADIANS(B97))*SIN(RADIANS(B98))*(1-COS(RADIANS(C98-C97)))))))/2)))</f>
        <v>6288.8581142246</v>
      </c>
      <c r="E98" s="24" t="n">
        <f aca="false">E97+(A98-A97)/2*(SIN(RADIANS(B97))*COS(RADIANS(C97))+SIN(RADIANS(B98))*COS(RADIANS(C98)))*(IF(ACOS(MIN(1,MAX(-1,COS(RADIANS(B98-B97))-SIN(RADIANS(B97))*SIN(RADIANS(B98))*(1-COS(RADIANS(C98-C97))))))=0,1,2/(ACOS(MIN(1,MAX(-1,COS(RADIANS(B98-B97))-SIN(RADIANS(B97))*SIN(RADIANS(B98))*(1-COS(RADIANS(C98-C97)))))))*TAN((ACOS(MIN(1,MAX(-1,COS(RADIANS(B98-B97))-SIN(RADIANS(B97))*SIN(RADIANS(B98))*(1-COS(RADIANS(C98-C97)))))))/2)))</f>
        <v>-2007.6550573584</v>
      </c>
      <c r="F98" s="24" t="n">
        <f aca="false">F97+(A98-A97)/2*(SIN(RADIANS(B97))*SIN(RADIANS(C97))+SIN(RADIANS(B98))*SIN(RADIANS(C98)))*(IF(ACOS(MIN(1,MAX(-1,COS(RADIANS(B98-B97))-SIN(RADIANS(B97))*SIN(RADIANS(B98))*(1-COS(RADIANS(C98-C97))))))=0,1,2/(ACOS(MIN(1,MAX(-1,COS(RADIANS(B98-B97))-SIN(RADIANS(B97))*SIN(RADIANS(B98))*(1-COS(RADIANS(C98-C97)))))))*TAN((ACOS(MIN(1,MAX(-1,COS(RADIANS(B98-B97))-SIN(RADIANS(B97))*SIN(RADIANS(B98))*(1-COS(RADIANS(C98-C97)))))))/2)))</f>
        <v>1473.0400864591</v>
      </c>
      <c r="G98" s="24" t="n">
        <f aca="false">IF(H98=0,0,DEGREES(ACOS(MIN(1,MAX(-1,COS(RADIANS(B98-B97))-SIN(RADIANS(B97))*SIN(RADIANS(B98))*(1-COS(RADIANS(C98-C97)))))))*100/H98)</f>
        <v>0.0623702509229675</v>
      </c>
      <c r="H98" s="24" t="n">
        <f aca="false">A98-A97</f>
        <v>93</v>
      </c>
      <c r="I98" s="24" t="n">
        <f aca="false">J98*COS(RADIANS(K98-Well_Data!$B$68))</f>
        <v>2490.05829910205</v>
      </c>
      <c r="J98" s="24" t="n">
        <f aca="false">SQRT(E98^2+F98^2)</f>
        <v>2490.08552577059</v>
      </c>
      <c r="K98" s="24" t="n">
        <f aca="false">IF(J98=0,0,MOD(DEGREES(ATAN2(E98,F98)),360))</f>
        <v>143.732065803531</v>
      </c>
    </row>
    <row r="99" customFormat="false" ht="15" hidden="false" customHeight="true" outlineLevel="0" collapsed="false">
      <c r="A99" s="20" t="n">
        <v>7120</v>
      </c>
      <c r="B99" s="20" t="n">
        <v>34.78</v>
      </c>
      <c r="C99" s="20" t="n">
        <v>144.37</v>
      </c>
      <c r="D99" s="24" t="n">
        <f aca="false">D98+(A99-A98)/2*(COS(RADIANS(B98))+COS(RADIANS(B99)))*(IF(ACOS(MIN(1,MAX(-1,COS(RADIANS(B99-B98))-SIN(RADIANS(B98))*SIN(RADIANS(B99))*(1-COS(RADIANS(C99-C98))))))=0,1,2/(ACOS(MIN(1,MAX(-1,COS(RADIANS(B99-B98))-SIN(RADIANS(B98))*SIN(RADIANS(B99))*(1-COS(RADIANS(C99-C98)))))))*TAN((ACOS(MIN(1,MAX(-1,COS(RADIANS(B99-B98))-SIN(RADIANS(B98))*SIN(RADIANS(B99))*(1-COS(RADIANS(C99-C98)))))))/2)))</f>
        <v>6365.21109199288</v>
      </c>
      <c r="E99" s="24" t="n">
        <f aca="false">E98+(A99-A98)/2*(SIN(RADIANS(B98))*COS(RADIANS(C98))+SIN(RADIANS(B99))*COS(RADIANS(C99)))*(IF(ACOS(MIN(1,MAX(-1,COS(RADIANS(B99-B98))-SIN(RADIANS(B98))*SIN(RADIANS(B99))*(1-COS(RADIANS(C99-C98))))))=0,1,2/(ACOS(MIN(1,MAX(-1,COS(RADIANS(B99-B98))-SIN(RADIANS(B98))*SIN(RADIANS(B99))*(1-COS(RADIANS(C99-C98)))))))*TAN((ACOS(MIN(1,MAX(-1,COS(RADIANS(B99-B98))-SIN(RADIANS(B98))*SIN(RADIANS(B99))*(1-COS(RADIANS(C99-C98)))))))/2)))</f>
        <v>-2050.83314415147</v>
      </c>
      <c r="F99" s="24" t="n">
        <f aca="false">F98+(A99-A98)/2*(SIN(RADIANS(B98))*SIN(RADIANS(C98))+SIN(RADIANS(B99))*SIN(RADIANS(C99)))*(IF(ACOS(MIN(1,MAX(-1,COS(RADIANS(B99-B98))-SIN(RADIANS(B98))*SIN(RADIANS(B99))*(1-COS(RADIANS(C99-C98))))))=0,1,2/(ACOS(MIN(1,MAX(-1,COS(RADIANS(B99-B98))-SIN(RADIANS(B98))*SIN(RADIANS(B99))*(1-COS(RADIANS(C99-C98)))))))*TAN((ACOS(MIN(1,MAX(-1,COS(RADIANS(B99-B98))-SIN(RADIANS(B98))*SIN(RADIANS(B99))*(1-COS(RADIANS(C99-C98)))))))/2)))</f>
        <v>1503.94112322131</v>
      </c>
      <c r="G99" s="24" t="n">
        <f aca="false">IF(H99=0,0,DEGREES(ACOS(MIN(1,MAX(-1,COS(RADIANS(B99-B98))-SIN(RADIANS(B98))*SIN(RADIANS(B99))*(1-COS(RADIANS(C99-C98)))))))*100/H99)</f>
        <v>0.0898743224862241</v>
      </c>
      <c r="H99" s="24" t="n">
        <f aca="false">A99-A98</f>
        <v>93</v>
      </c>
      <c r="I99" s="24" t="n">
        <f aca="false">J99*COS(RADIANS(K99-Well_Data!$B$68))</f>
        <v>2543.15327879161</v>
      </c>
      <c r="J99" s="24" t="n">
        <f aca="false">SQRT(E99^2+F99^2)</f>
        <v>2543.17822561974</v>
      </c>
      <c r="K99" s="24" t="n">
        <f aca="false">IF(J99=0,0,MOD(DEGREES(ATAN2(E99,F99)),360))</f>
        <v>143.746220080954</v>
      </c>
    </row>
    <row r="100" customFormat="false" ht="15" hidden="false" customHeight="true" outlineLevel="0" collapsed="false">
      <c r="A100" s="20" t="n">
        <v>7213</v>
      </c>
      <c r="B100" s="20" t="n">
        <v>35</v>
      </c>
      <c r="C100" s="20" t="n">
        <v>144.54</v>
      </c>
      <c r="D100" s="24" t="n">
        <f aca="false">D99+(A100-A99)/2*(COS(RADIANS(B99))+COS(RADIANS(B100)))*(IF(ACOS(MIN(1,MAX(-1,COS(RADIANS(B100-B99))-SIN(RADIANS(B99))*SIN(RADIANS(B100))*(1-COS(RADIANS(C100-C99))))))=0,1,2/(ACOS(MIN(1,MAX(-1,COS(RADIANS(B100-B99))-SIN(RADIANS(B99))*SIN(RADIANS(B100))*(1-COS(RADIANS(C100-C99)))))))*TAN((ACOS(MIN(1,MAX(-1,COS(RADIANS(B100-B99))-SIN(RADIANS(B99))*SIN(RADIANS(B100))*(1-COS(RADIANS(C100-C99)))))))/2)))</f>
        <v>6441.49447355707</v>
      </c>
      <c r="E100" s="24" t="n">
        <f aca="false">E99+(A100-A99)/2*(SIN(RADIANS(B99))*COS(RADIANS(C99))+SIN(RADIANS(B100))*COS(RADIANS(C100)))*(IF(ACOS(MIN(1,MAX(-1,COS(RADIANS(B100-B99))-SIN(RADIANS(B99))*SIN(RADIANS(B100))*(1-COS(RADIANS(C100-C99))))))=0,1,2/(ACOS(MIN(1,MAX(-1,COS(RADIANS(B100-B99))-SIN(RADIANS(B99))*SIN(RADIANS(B100))*(1-COS(RADIANS(C100-C99)))))))*TAN((ACOS(MIN(1,MAX(-1,COS(RADIANS(B100-B99))-SIN(RADIANS(B99))*SIN(RADIANS(B100))*(1-COS(RADIANS(C100-C99)))))))/2)))</f>
        <v>-2094.11682651057</v>
      </c>
      <c r="F100" s="24" t="n">
        <f aca="false">F99+(A100-A99)/2*(SIN(RADIANS(B99))*SIN(RADIANS(C99))+SIN(RADIANS(B100))*SIN(RADIANS(C100)))*(IF(ACOS(MIN(1,MAX(-1,COS(RADIANS(B100-B99))-SIN(RADIANS(B99))*SIN(RADIANS(B100))*(1-COS(RADIANS(C100-C99))))))=0,1,2/(ACOS(MIN(1,MAX(-1,COS(RADIANS(B100-B99))-SIN(RADIANS(B99))*SIN(RADIANS(B100))*(1-COS(RADIANS(C100-C99)))))))*TAN((ACOS(MIN(1,MAX(-1,COS(RADIANS(B100-B99))-SIN(RADIANS(B99))*SIN(RADIANS(B100))*(1-COS(RADIANS(C100-C99)))))))/2)))</f>
        <v>1534.86612663604</v>
      </c>
      <c r="G100" s="24" t="n">
        <f aca="false">IF(H100=0,0,DEGREES(ACOS(MIN(1,MAX(-1,COS(RADIANS(B100-B99))-SIN(RADIANS(B99))*SIN(RADIANS(B100))*(1-COS(RADIANS(C100-C99)))))))*100/H100)</f>
        <v>0.258636506814308</v>
      </c>
      <c r="H100" s="24" t="n">
        <f aca="false">A100-A99</f>
        <v>93</v>
      </c>
      <c r="I100" s="24" t="n">
        <f aca="false">J100*COS(RADIANS(K100-Well_Data!$B$68))</f>
        <v>2596.34777433352</v>
      </c>
      <c r="J100" s="24" t="n">
        <f aca="false">SQRT(E100^2+F100^2)</f>
        <v>2596.37041074062</v>
      </c>
      <c r="K100" s="24" t="n">
        <f aca="false">IF(J100=0,0,MOD(DEGREES(ATAN2(E100,F100)),360))</f>
        <v>143.760746462306</v>
      </c>
    </row>
    <row r="101" customFormat="false" ht="15" hidden="false" customHeight="true" outlineLevel="0" collapsed="false">
      <c r="A101" s="20" t="n">
        <v>7306</v>
      </c>
      <c r="B101" s="20" t="n">
        <v>34.77</v>
      </c>
      <c r="C101" s="20" t="n">
        <v>144.44</v>
      </c>
      <c r="D101" s="24" t="n">
        <f aca="false">D100+(A101-A100)/2*(COS(RADIANS(B100))+COS(RADIANS(B101)))*(IF(ACOS(MIN(1,MAX(-1,COS(RADIANS(B101-B100))-SIN(RADIANS(B100))*SIN(RADIANS(B101))*(1-COS(RADIANS(C101-C100))))))=0,1,2/(ACOS(MIN(1,MAX(-1,COS(RADIANS(B101-B100))-SIN(RADIANS(B100))*SIN(RADIANS(B101))*(1-COS(RADIANS(C101-C100)))))))*TAN((ACOS(MIN(1,MAX(-1,COS(RADIANS(B101-B100))-SIN(RADIANS(B100))*SIN(RADIANS(B101))*(1-COS(RADIANS(C101-C100)))))))/2)))</f>
        <v>6517.78248074379</v>
      </c>
      <c r="E101" s="24" t="n">
        <f aca="false">E100+(A101-A100)/2*(SIN(RADIANS(B100))*COS(RADIANS(C100))+SIN(RADIANS(B101))*COS(RADIANS(C101)))*(IF(ACOS(MIN(1,MAX(-1,COS(RADIANS(B101-B100))-SIN(RADIANS(B100))*SIN(RADIANS(B101))*(1-COS(RADIANS(C101-C100))))))=0,1,2/(ACOS(MIN(1,MAX(-1,COS(RADIANS(B101-B100))-SIN(RADIANS(B100))*SIN(RADIANS(B101))*(1-COS(RADIANS(C101-C100)))))))*TAN((ACOS(MIN(1,MAX(-1,COS(RADIANS(B101-B100))-SIN(RADIANS(B100))*SIN(RADIANS(B101))*(1-COS(RADIANS(C101-C100)))))))/2)))</f>
        <v>-2137.41394607008</v>
      </c>
      <c r="F101" s="24" t="n">
        <f aca="false">F100+(A101-A100)/2*(SIN(RADIANS(B100))*SIN(RADIANS(C100))+SIN(RADIANS(B101))*SIN(RADIANS(C101)))*(IF(ACOS(MIN(1,MAX(-1,COS(RADIANS(B101-B100))-SIN(RADIANS(B100))*SIN(RADIANS(B101))*(1-COS(RADIANS(C101-C100))))))=0,1,2/(ACOS(MIN(1,MAX(-1,COS(RADIANS(B101-B100))-SIN(RADIANS(B100))*SIN(RADIANS(B101))*(1-COS(RADIANS(C101-C100)))))))*TAN((ACOS(MIN(1,MAX(-1,COS(RADIANS(B101-B100))-SIN(RADIANS(B100))*SIN(RADIANS(B101))*(1-COS(RADIANS(C101-C100)))))))/2)))</f>
        <v>1565.76090070575</v>
      </c>
      <c r="G101" s="24" t="n">
        <f aca="false">IF(H101=0,0,DEGREES(ACOS(MIN(1,MAX(-1,COS(RADIANS(B101-B100))-SIN(RADIANS(B100))*SIN(RADIANS(B101))*(1-COS(RADIANS(C101-C100)))))))*100/H101)</f>
        <v>0.254843292489541</v>
      </c>
      <c r="H101" s="24" t="n">
        <f aca="false">A101-A100</f>
        <v>93</v>
      </c>
      <c r="I101" s="24" t="n">
        <f aca="false">J101*COS(RADIANS(K101-Well_Data!$B$68))</f>
        <v>2649.53537243573</v>
      </c>
      <c r="J101" s="24" t="n">
        <f aca="false">SQRT(E101^2+F101^2)</f>
        <v>2649.55573163385</v>
      </c>
      <c r="K101" s="24" t="n">
        <f aca="false">IF(J101=0,0,MOD(DEGREES(ATAN2(E101,F101)),360))</f>
        <v>143.775388642291</v>
      </c>
    </row>
    <row r="102" customFormat="false" ht="15" hidden="false" customHeight="true" outlineLevel="0" collapsed="false">
      <c r="A102" s="20" t="n">
        <v>7399</v>
      </c>
      <c r="B102" s="20" t="n">
        <v>35.06</v>
      </c>
      <c r="C102" s="20" t="n">
        <v>144.73</v>
      </c>
      <c r="D102" s="24" t="n">
        <f aca="false">D101+(A102-A101)/2*(COS(RADIANS(B101))+COS(RADIANS(B102)))*(IF(ACOS(MIN(1,MAX(-1,COS(RADIANS(B102-B101))-SIN(RADIANS(B101))*SIN(RADIANS(B102))*(1-COS(RADIANS(C102-C101))))))=0,1,2/(ACOS(MIN(1,MAX(-1,COS(RADIANS(B102-B101))-SIN(RADIANS(B101))*SIN(RADIANS(B102))*(1-COS(RADIANS(C102-C101)))))))*TAN((ACOS(MIN(1,MAX(-1,COS(RADIANS(B102-B101))-SIN(RADIANS(B101))*SIN(RADIANS(B102))*(1-COS(RADIANS(C102-C101)))))))/2)))</f>
        <v>6594.04264428565</v>
      </c>
      <c r="E102" s="24" t="n">
        <f aca="false">E101+(A102-A101)/2*(SIN(RADIANS(B101))*COS(RADIANS(C101))+SIN(RADIANS(B102))*COS(RADIANS(C102)))*(IF(ACOS(MIN(1,MAX(-1,COS(RADIANS(B102-B101))-SIN(RADIANS(B101))*SIN(RADIANS(B102))*(1-COS(RADIANS(C102-C101))))))=0,1,2/(ACOS(MIN(1,MAX(-1,COS(RADIANS(B102-B101))-SIN(RADIANS(B101))*SIN(RADIANS(B102))*(1-COS(RADIANS(C102-C101)))))))*TAN((ACOS(MIN(1,MAX(-1,COS(RADIANS(B102-B101))-SIN(RADIANS(B101))*SIN(RADIANS(B102))*(1-COS(RADIANS(C102-C101)))))))/2)))</f>
        <v>-2180.79487202463</v>
      </c>
      <c r="F102" s="24" t="n">
        <f aca="false">F101+(A102-A101)/2*(SIN(RADIANS(B101))*SIN(RADIANS(C101))+SIN(RADIANS(B102))*SIN(RADIANS(C102)))*(IF(ACOS(MIN(1,MAX(-1,COS(RADIANS(B102-B101))-SIN(RADIANS(B101))*SIN(RADIANS(B102))*(1-COS(RADIANS(C102-C101))))))=0,1,2/(ACOS(MIN(1,MAX(-1,COS(RADIANS(B102-B101))-SIN(RADIANS(B101))*SIN(RADIANS(B102))*(1-COS(RADIANS(C102-C101)))))))*TAN((ACOS(MIN(1,MAX(-1,COS(RADIANS(B102-B101))-SIN(RADIANS(B101))*SIN(RADIANS(B102))*(1-COS(RADIANS(C102-C101)))))))/2)))</f>
        <v>1596.60661688708</v>
      </c>
      <c r="G102" s="24" t="n">
        <f aca="false">IF(H102=0,0,DEGREES(ACOS(MIN(1,MAX(-1,COS(RADIANS(B102-B101))-SIN(RADIANS(B101))*SIN(RADIANS(B102))*(1-COS(RADIANS(C102-C101)))))))*100/H102)</f>
        <v>0.359291731573402</v>
      </c>
      <c r="H102" s="24" t="n">
        <f aca="false">A102-A101</f>
        <v>93</v>
      </c>
      <c r="I102" s="24" t="n">
        <f aca="false">J102*COS(RADIANS(K102-Well_Data!$B$68))</f>
        <v>2702.76193583247</v>
      </c>
      <c r="J102" s="24" t="n">
        <f aca="false">SQRT(E102^2+F102^2)</f>
        <v>2702.7798583933</v>
      </c>
      <c r="K102" s="24" t="n">
        <f aca="false">IF(J102=0,0,MOD(DEGREES(ATAN2(E102,F102)),360))</f>
        <v>143.79134318931</v>
      </c>
    </row>
    <row r="103" customFormat="false" ht="15" hidden="false" customHeight="true" outlineLevel="0" collapsed="false">
      <c r="A103" s="20" t="n">
        <v>7492</v>
      </c>
      <c r="B103" s="20" t="n">
        <v>34.98</v>
      </c>
      <c r="C103" s="20" t="n">
        <v>144.64</v>
      </c>
      <c r="D103" s="24" t="n">
        <f aca="false">D102+(A103-A102)/2*(COS(RADIANS(B102))+COS(RADIANS(B103)))*(IF(ACOS(MIN(1,MAX(-1,COS(RADIANS(B103-B102))-SIN(RADIANS(B102))*SIN(RADIANS(B103))*(1-COS(RADIANS(C103-C102))))))=0,1,2/(ACOS(MIN(1,MAX(-1,COS(RADIANS(B103-B102))-SIN(RADIANS(B102))*SIN(RADIANS(B103))*(1-COS(RADIANS(C103-C102)))))))*TAN((ACOS(MIN(1,MAX(-1,COS(RADIANS(B103-B102))-SIN(RADIANS(B102))*SIN(RADIANS(B103))*(1-COS(RADIANS(C103-C102)))))))/2)))</f>
        <v>6670.20515865108</v>
      </c>
      <c r="E103" s="24" t="n">
        <f aca="false">E102+(A103-A102)/2*(SIN(RADIANS(B102))*COS(RADIANS(C102))+SIN(RADIANS(B103))*COS(RADIANS(C103)))*(IF(ACOS(MIN(1,MAX(-1,COS(RADIANS(B103-B102))-SIN(RADIANS(B102))*SIN(RADIANS(B103))*(1-COS(RADIANS(C103-C102))))))=0,1,2/(ACOS(MIN(1,MAX(-1,COS(RADIANS(B103-B102))-SIN(RADIANS(B102))*SIN(RADIANS(B103))*(1-COS(RADIANS(C103-C102)))))))*TAN((ACOS(MIN(1,MAX(-1,COS(RADIANS(B103-B102))-SIN(RADIANS(B102))*SIN(RADIANS(B103))*(1-COS(RADIANS(C103-C102)))))))/2)))</f>
        <v>-2224.34341509745</v>
      </c>
      <c r="F103" s="24" t="n">
        <f aca="false">F102+(A103-A102)/2*(SIN(RADIANS(B102))*SIN(RADIANS(C102))+SIN(RADIANS(B103))*SIN(RADIANS(C103)))*(IF(ACOS(MIN(1,MAX(-1,COS(RADIANS(B103-B102))-SIN(RADIANS(B102))*SIN(RADIANS(B103))*(1-COS(RADIANS(C103-C102))))))=0,1,2/(ACOS(MIN(1,MAX(-1,COS(RADIANS(B103-B102))-SIN(RADIANS(B102))*SIN(RADIANS(B103))*(1-COS(RADIANS(C103-C102)))))))*TAN((ACOS(MIN(1,MAX(-1,COS(RADIANS(B103-B102))-SIN(RADIANS(B102))*SIN(RADIANS(B103))*(1-COS(RADIANS(C103-C102)))))))/2)))</f>
        <v>1627.45777263494</v>
      </c>
      <c r="G103" s="24" t="n">
        <f aca="false">IF(H103=0,0,DEGREES(ACOS(MIN(1,MAX(-1,COS(RADIANS(B103-B102))-SIN(RADIANS(B102))*SIN(RADIANS(B103))*(1-COS(RADIANS(C103-C102)))))))*100/H103)</f>
        <v>0.102390618980824</v>
      </c>
      <c r="H103" s="24" t="n">
        <f aca="false">A103-A102</f>
        <v>93</v>
      </c>
      <c r="I103" s="24" t="n">
        <f aca="false">J103*COS(RADIANS(K103-Well_Data!$B$68))</f>
        <v>2756.12730162342</v>
      </c>
      <c r="J103" s="24" t="n">
        <f aca="false">SQRT(E103^2+F103^2)</f>
        <v>2756.14267228626</v>
      </c>
      <c r="K103" s="24" t="n">
        <f aca="false">IF(J103=0,0,MOD(DEGREES(ATAN2(E103,F103)),360))</f>
        <v>143.808647877999</v>
      </c>
    </row>
    <row r="104" customFormat="false" ht="15" hidden="false" customHeight="true" outlineLevel="0" collapsed="false">
      <c r="A104" s="20" t="n">
        <v>7585</v>
      </c>
      <c r="B104" s="20" t="n">
        <v>34.81</v>
      </c>
      <c r="C104" s="20" t="n">
        <v>144.38</v>
      </c>
      <c r="D104" s="24" t="n">
        <f aca="false">D103+(A104-A103)/2*(COS(RADIANS(B103))+COS(RADIANS(B104)))*(IF(ACOS(MIN(1,MAX(-1,COS(RADIANS(B104-B103))-SIN(RADIANS(B103))*SIN(RADIANS(B104))*(1-COS(RADIANS(C104-C103))))))=0,1,2/(ACOS(MIN(1,MAX(-1,COS(RADIANS(B104-B103))-SIN(RADIANS(B103))*SIN(RADIANS(B104))*(1-COS(RADIANS(C104-C103)))))))*TAN((ACOS(MIN(1,MAX(-1,COS(RADIANS(B104-B103))-SIN(RADIANS(B103))*SIN(RADIANS(B104))*(1-COS(RADIANS(C104-C103)))))))/2)))</f>
        <v>6746.48394108544</v>
      </c>
      <c r="E104" s="24" t="n">
        <f aca="false">E103+(A104-A103)/2*(SIN(RADIANS(B103))*COS(RADIANS(C103))+SIN(RADIANS(B104))*COS(RADIANS(C104)))*(IF(ACOS(MIN(1,MAX(-1,COS(RADIANS(B104-B103))-SIN(RADIANS(B103))*SIN(RADIANS(B104))*(1-COS(RADIANS(C104-C103))))))=0,1,2/(ACOS(MIN(1,MAX(-1,COS(RADIANS(B104-B103))-SIN(RADIANS(B103))*SIN(RADIANS(B104))*(1-COS(RADIANS(C104-C103)))))))*TAN((ACOS(MIN(1,MAX(-1,COS(RADIANS(B104-B103))-SIN(RADIANS(B103))*SIN(RADIANS(B104))*(1-COS(RADIANS(C104-C103)))))))/2)))</f>
        <v>-2267.6621671794</v>
      </c>
      <c r="F104" s="24" t="n">
        <f aca="false">F103+(A104-A103)/2*(SIN(RADIANS(B103))*SIN(RADIANS(C103))+SIN(RADIANS(B104))*SIN(RADIANS(C104)))*(IF(ACOS(MIN(1,MAX(-1,COS(RADIANS(B104-B103))-SIN(RADIANS(B103))*SIN(RADIANS(B104))*(1-COS(RADIANS(C104-C103))))))=0,1,2/(ACOS(MIN(1,MAX(-1,COS(RADIANS(B104-B103))-SIN(RADIANS(B103))*SIN(RADIANS(B104))*(1-COS(RADIANS(C104-C103)))))))*TAN((ACOS(MIN(1,MAX(-1,COS(RADIANS(B104-B103))-SIN(RADIANS(B103))*SIN(RADIANS(B104))*(1-COS(RADIANS(C104-C103)))))))/2)))</f>
        <v>1658.34501702633</v>
      </c>
      <c r="G104" s="24" t="n">
        <f aca="false">IF(H104=0,0,DEGREES(ACOS(MIN(1,MAX(-1,COS(RADIANS(B104-B103))-SIN(RADIANS(B103))*SIN(RADIANS(B104))*(1-COS(RADIANS(C104-C103)))))))*100/H104)</f>
        <v>0.242885215515136</v>
      </c>
      <c r="H104" s="24" t="n">
        <f aca="false">A104-A103</f>
        <v>93</v>
      </c>
      <c r="I104" s="24" t="n">
        <f aca="false">J104*COS(RADIANS(K104-Well_Data!$B$68))</f>
        <v>2809.32797497005</v>
      </c>
      <c r="J104" s="24" t="n">
        <f aca="false">SQRT(E104^2+F104^2)</f>
        <v>2809.34154206156</v>
      </c>
      <c r="K104" s="24" t="n">
        <f aca="false">IF(J104=0,0,MOD(DEGREES(ATAN2(E104,F104)),360))</f>
        <v>143.821934857462</v>
      </c>
    </row>
    <row r="105" customFormat="false" ht="15" hidden="false" customHeight="true" outlineLevel="0" collapsed="false">
      <c r="A105" s="20" t="n">
        <v>7678</v>
      </c>
      <c r="B105" s="20" t="n">
        <v>35.05</v>
      </c>
      <c r="C105" s="20" t="n">
        <v>144.8</v>
      </c>
      <c r="D105" s="24" t="n">
        <f aca="false">D104+(A105-A104)/2*(COS(RADIANS(B104))+COS(RADIANS(B105)))*(IF(ACOS(MIN(1,MAX(-1,COS(RADIANS(B105-B104))-SIN(RADIANS(B104))*SIN(RADIANS(B105))*(1-COS(RADIANS(C105-C104))))))=0,1,2/(ACOS(MIN(1,MAX(-1,COS(RADIANS(B105-B104))-SIN(RADIANS(B104))*SIN(RADIANS(B105))*(1-COS(RADIANS(C105-C104)))))))*TAN((ACOS(MIN(1,MAX(-1,COS(RADIANS(B105-B104))-SIN(RADIANS(B104))*SIN(RADIANS(B105))*(1-COS(RADIANS(C105-C104)))))))/2)))</f>
        <v>6822.73025081272</v>
      </c>
      <c r="E105" s="24" t="n">
        <f aca="false">E104+(A105-A104)/2*(SIN(RADIANS(B104))*COS(RADIANS(C104))+SIN(RADIANS(B105))*COS(RADIANS(C105)))*(IF(ACOS(MIN(1,MAX(-1,COS(RADIANS(B105-B104))-SIN(RADIANS(B104))*SIN(RADIANS(B105))*(1-COS(RADIANS(C105-C104))))))=0,1,2/(ACOS(MIN(1,MAX(-1,COS(RADIANS(B105-B104))-SIN(RADIANS(B104))*SIN(RADIANS(B105))*(1-COS(RADIANS(C105-C104)))))))*TAN((ACOS(MIN(1,MAX(-1,COS(RADIANS(B105-B104))-SIN(RADIANS(B104))*SIN(RADIANS(B105))*(1-COS(RADIANS(C105-C104)))))))/2)))</f>
        <v>-2311.06200668453</v>
      </c>
      <c r="F105" s="24" t="n">
        <f aca="false">F104+(A105-A104)/2*(SIN(RADIANS(B104))*SIN(RADIANS(C104))+SIN(RADIANS(B105))*SIN(RADIANS(C105)))*(IF(ACOS(MIN(1,MAX(-1,COS(RADIANS(B105-B104))-SIN(RADIANS(B104))*SIN(RADIANS(B105))*(1-COS(RADIANS(C105-C104))))))=0,1,2/(ACOS(MIN(1,MAX(-1,COS(RADIANS(B105-B104))-SIN(RADIANS(B104))*SIN(RADIANS(B105))*(1-COS(RADIANS(C105-C104)))))))*TAN((ACOS(MIN(1,MAX(-1,COS(RADIANS(B105-B104))-SIN(RADIANS(B104))*SIN(RADIANS(B105))*(1-COS(RADIANS(C105-C104)))))))/2)))</f>
        <v>1689.19836110427</v>
      </c>
      <c r="G105" s="24" t="n">
        <f aca="false">IF(H105=0,0,DEGREES(ACOS(MIN(1,MAX(-1,COS(RADIANS(B105-B104))-SIN(RADIANS(B104))*SIN(RADIANS(B105))*(1-COS(RADIANS(C105-C104)))))))*100/H105)</f>
        <v>0.365323460759013</v>
      </c>
      <c r="H105" s="24" t="n">
        <f aca="false">A105-A104</f>
        <v>93</v>
      </c>
      <c r="I105" s="24" t="n">
        <f aca="false">J105*COS(RADIANS(K105-Well_Data!$B$68))</f>
        <v>2862.57432331575</v>
      </c>
      <c r="J105" s="24" t="n">
        <f aca="false">SQRT(E105^2+F105^2)</f>
        <v>2862.58601650641</v>
      </c>
      <c r="K105" s="24" t="n">
        <f aca="false">IF(J105=0,0,MOD(DEGREES(ATAN2(E105,F105)),360))</f>
        <v>143.836233517573</v>
      </c>
    </row>
    <row r="106" customFormat="false" ht="15" hidden="false" customHeight="true" outlineLevel="0" collapsed="false">
      <c r="A106" s="20" t="n">
        <v>7771</v>
      </c>
      <c r="B106" s="20" t="n">
        <v>34.63</v>
      </c>
      <c r="C106" s="20" t="n">
        <v>144.68</v>
      </c>
      <c r="D106" s="24" t="n">
        <f aca="false">D105+(A106-A105)/2*(COS(RADIANS(B105))+COS(RADIANS(B106)))*(IF(ACOS(MIN(1,MAX(-1,COS(RADIANS(B106-B105))-SIN(RADIANS(B105))*SIN(RADIANS(B106))*(1-COS(RADIANS(C106-C105))))))=0,1,2/(ACOS(MIN(1,MAX(-1,COS(RADIANS(B106-B105))-SIN(RADIANS(B105))*SIN(RADIANS(B106))*(1-COS(RADIANS(C106-C105)))))))*TAN((ACOS(MIN(1,MAX(-1,COS(RADIANS(B106-B105))-SIN(RADIANS(B105))*SIN(RADIANS(B106))*(1-COS(RADIANS(C106-C105)))))))/2)))</f>
        <v>6899.05989257267</v>
      </c>
      <c r="E106" s="24" t="n">
        <f aca="false">E105+(A106-A105)/2*(SIN(RADIANS(B105))*COS(RADIANS(C105))+SIN(RADIANS(B106))*COS(RADIANS(C106)))*(IF(ACOS(MIN(1,MAX(-1,COS(RADIANS(B106-B105))-SIN(RADIANS(B105))*SIN(RADIANS(B106))*(1-COS(RADIANS(C106-C105))))))=0,1,2/(ACOS(MIN(1,MAX(-1,COS(RADIANS(B106-B105))-SIN(RADIANS(B105))*SIN(RADIANS(B106))*(1-COS(RADIANS(C106-C105)))))))*TAN((ACOS(MIN(1,MAX(-1,COS(RADIANS(B106-B105))-SIN(RADIANS(B105))*SIN(RADIANS(B106))*(1-COS(RADIANS(C106-C105)))))))/2)))</f>
        <v>-2354.44459822477</v>
      </c>
      <c r="F106" s="24" t="n">
        <f aca="false">F105+(A106-A105)/2*(SIN(RADIANS(B105))*SIN(RADIANS(C105))+SIN(RADIANS(B106))*SIN(RADIANS(C106)))*(IF(ACOS(MIN(1,MAX(-1,COS(RADIANS(B106-B105))-SIN(RADIANS(B105))*SIN(RADIANS(B106))*(1-COS(RADIANS(C106-C105))))))=0,1,2/(ACOS(MIN(1,MAX(-1,COS(RADIANS(B106-B105))-SIN(RADIANS(B105))*SIN(RADIANS(B106))*(1-COS(RADIANS(C106-C105)))))))*TAN((ACOS(MIN(1,MAX(-1,COS(RADIANS(B106-B105))-SIN(RADIANS(B105))*SIN(RADIANS(B106))*(1-COS(RADIANS(C106-C105)))))))/2)))</f>
        <v>1719.86914164817</v>
      </c>
      <c r="G106" s="24" t="n">
        <f aca="false">IF(H106=0,0,DEGREES(ACOS(MIN(1,MAX(-1,COS(RADIANS(B106-B105))-SIN(RADIANS(B105))*SIN(RADIANS(B106))*(1-COS(RADIANS(C106-C105)))))))*100/H106)</f>
        <v>0.457589174557037</v>
      </c>
      <c r="H106" s="24" t="n">
        <f aca="false">A106-A105</f>
        <v>93</v>
      </c>
      <c r="I106" s="24" t="n">
        <f aca="false">J106*COS(RADIANS(K106-Well_Data!$B$68))</f>
        <v>2915.69940961184</v>
      </c>
      <c r="J106" s="24" t="n">
        <f aca="false">SQRT(E106^2+F106^2)</f>
        <v>2915.70904421264</v>
      </c>
      <c r="K106" s="24" t="n">
        <f aca="false">IF(J106=0,0,MOD(DEGREES(ATAN2(E106,F106)),360))</f>
        <v>143.852706860101</v>
      </c>
    </row>
    <row r="107" customFormat="false" ht="15" hidden="false" customHeight="true" outlineLevel="0" collapsed="false">
      <c r="A107" s="20" t="n">
        <v>7864</v>
      </c>
      <c r="B107" s="20" t="n">
        <v>35.07</v>
      </c>
      <c r="C107" s="20" t="n">
        <v>144.4</v>
      </c>
      <c r="D107" s="24" t="n">
        <f aca="false">D106+(A107-A106)/2*(COS(RADIANS(B106))+COS(RADIANS(B107)))*(IF(ACOS(MIN(1,MAX(-1,COS(RADIANS(B107-B106))-SIN(RADIANS(B106))*SIN(RADIANS(B107))*(1-COS(RADIANS(C107-C106))))))=0,1,2/(ACOS(MIN(1,MAX(-1,COS(RADIANS(B107-B106))-SIN(RADIANS(B106))*SIN(RADIANS(B107))*(1-COS(RADIANS(C107-C106)))))))*TAN((ACOS(MIN(1,MAX(-1,COS(RADIANS(B107-B106))-SIN(RADIANS(B106))*SIN(RADIANS(B107))*(1-COS(RADIANS(C107-C106)))))))/2)))</f>
        <v>6975.38028414357</v>
      </c>
      <c r="E107" s="24" t="n">
        <f aca="false">E106+(A107-A106)/2*(SIN(RADIANS(B106))*COS(RADIANS(C106))+SIN(RADIANS(B107))*COS(RADIANS(C107)))*(IF(ACOS(MIN(1,MAX(-1,COS(RADIANS(B107-B106))-SIN(RADIANS(B106))*SIN(RADIANS(B107))*(1-COS(RADIANS(C107-C106))))))=0,1,2/(ACOS(MIN(1,MAX(-1,COS(RADIANS(B107-B106))-SIN(RADIANS(B106))*SIN(RADIANS(B107))*(1-COS(RADIANS(C107-C106)))))))*TAN((ACOS(MIN(1,MAX(-1,COS(RADIANS(B107-B106))-SIN(RADIANS(B106))*SIN(RADIANS(B107))*(1-COS(RADIANS(C107-C106)))))))/2)))</f>
        <v>-2397.73003752837</v>
      </c>
      <c r="F107" s="24" t="n">
        <f aca="false">F106+(A107-A106)/2*(SIN(RADIANS(B106))*SIN(RADIANS(C106))+SIN(RADIANS(B107))*SIN(RADIANS(C107)))*(IF(ACOS(MIN(1,MAX(-1,COS(RADIANS(B107-B106))-SIN(RADIANS(B106))*SIN(RADIANS(B107))*(1-COS(RADIANS(C107-C106))))))=0,1,2/(ACOS(MIN(1,MAX(-1,COS(RADIANS(B107-B106))-SIN(RADIANS(B106))*SIN(RADIANS(B107))*(1-COS(RADIANS(C107-C106)))))))*TAN((ACOS(MIN(1,MAX(-1,COS(RADIANS(B107-B106))-SIN(RADIANS(B106))*SIN(RADIANS(B107))*(1-COS(RADIANS(C107-C106)))))))/2)))</f>
        <v>1750.69965330509</v>
      </c>
      <c r="G107" s="24" t="n">
        <f aca="false">IF(H107=0,0,DEGREES(ACOS(MIN(1,MAX(-1,COS(RADIANS(B107-B106))-SIN(RADIANS(B106))*SIN(RADIANS(B107))*(1-COS(RADIANS(C107-C106)))))))*100/H107)</f>
        <v>0.50342701596941</v>
      </c>
      <c r="H107" s="24" t="n">
        <f aca="false">A107-A106</f>
        <v>93</v>
      </c>
      <c r="I107" s="24" t="n">
        <f aca="false">J107*COS(RADIANS(K107-Well_Data!$B$68))</f>
        <v>2968.83978569001</v>
      </c>
      <c r="J107" s="24" t="n">
        <f aca="false">SQRT(E107^2+F107^2)</f>
        <v>2968.8480272571</v>
      </c>
      <c r="K107" s="24" t="n">
        <f aca="false">IF(J107=0,0,MOD(DEGREES(ATAN2(E107,F107)),360))</f>
        <v>143.864995375162</v>
      </c>
    </row>
    <row r="108" customFormat="false" ht="15" hidden="false" customHeight="true" outlineLevel="0" collapsed="false">
      <c r="A108" s="20" t="n">
        <v>7957</v>
      </c>
      <c r="B108" s="20" t="n">
        <v>34.96</v>
      </c>
      <c r="C108" s="20" t="n">
        <v>144.41</v>
      </c>
      <c r="D108" s="24" t="n">
        <f aca="false">D107+(A108-A107)/2*(COS(RADIANS(B107))+COS(RADIANS(B108)))*(IF(ACOS(MIN(1,MAX(-1,COS(RADIANS(B108-B107))-SIN(RADIANS(B107))*SIN(RADIANS(B108))*(1-COS(RADIANS(C108-C107))))))=0,1,2/(ACOS(MIN(1,MAX(-1,COS(RADIANS(B108-B107))-SIN(RADIANS(B107))*SIN(RADIANS(B108))*(1-COS(RADIANS(C108-C107)))))))*TAN((ACOS(MIN(1,MAX(-1,COS(RADIANS(B108-B107))-SIN(RADIANS(B107))*SIN(RADIANS(B108))*(1-COS(RADIANS(C108-C107)))))))/2)))</f>
        <v>7051.5474449557</v>
      </c>
      <c r="E108" s="24" t="n">
        <f aca="false">E107+(A108-A107)/2*(SIN(RADIANS(B107))*COS(RADIANS(C107))+SIN(RADIANS(B108))*COS(RADIANS(C108)))*(IF(ACOS(MIN(1,MAX(-1,COS(RADIANS(B108-B107))-SIN(RADIANS(B107))*SIN(RADIANS(B108))*(1-COS(RADIANS(C108-C107))))))=0,1,2/(ACOS(MIN(1,MAX(-1,COS(RADIANS(B108-B107))-SIN(RADIANS(B107))*SIN(RADIANS(B108))*(1-COS(RADIANS(C108-C107)))))))*TAN((ACOS(MIN(1,MAX(-1,COS(RADIANS(B108-B107))-SIN(RADIANS(B107))*SIN(RADIANS(B108))*(1-COS(RADIANS(C108-C107)))))))/2)))</f>
        <v>-2441.12186843512</v>
      </c>
      <c r="F108" s="24" t="n">
        <f aca="false">F107+(A108-A107)/2*(SIN(RADIANS(B107))*SIN(RADIANS(C107))+SIN(RADIANS(B108))*SIN(RADIANS(C108)))*(IF(ACOS(MIN(1,MAX(-1,COS(RADIANS(B108-B107))-SIN(RADIANS(B107))*SIN(RADIANS(B108))*(1-COS(RADIANS(C108-C107))))))=0,1,2/(ACOS(MIN(1,MAX(-1,COS(RADIANS(B108-B107))-SIN(RADIANS(B107))*SIN(RADIANS(B108))*(1-COS(RADIANS(C108-C107)))))))*TAN((ACOS(MIN(1,MAX(-1,COS(RADIANS(B108-B107))-SIN(RADIANS(B107))*SIN(RADIANS(B108))*(1-COS(RADIANS(C108-C107)))))))/2)))</f>
        <v>1781.75943373829</v>
      </c>
      <c r="G108" s="24" t="n">
        <f aca="false">IF(H108=0,0,DEGREES(ACOS(MIN(1,MAX(-1,COS(RADIANS(B108-B107))-SIN(RADIANS(B107))*SIN(RADIANS(B108))*(1-COS(RADIANS(C108-C107)))))))*100/H108)</f>
        <v>0.118440377121339</v>
      </c>
      <c r="H108" s="24" t="n">
        <f aca="false">A108-A107</f>
        <v>93</v>
      </c>
      <c r="I108" s="24" t="n">
        <f aca="false">J108*COS(RADIANS(K108-Well_Data!$B$68))</f>
        <v>3022.20099518869</v>
      </c>
      <c r="J108" s="24" t="n">
        <f aca="false">SQRT(E108^2+F108^2)</f>
        <v>3022.20824171127</v>
      </c>
      <c r="K108" s="24" t="n">
        <f aca="false">IF(J108=0,0,MOD(DEGREES(ATAN2(E108,F108)),360))</f>
        <v>143.874529869625</v>
      </c>
    </row>
    <row r="109" customFormat="false" ht="15" hidden="false" customHeight="true" outlineLevel="0" collapsed="false">
      <c r="A109" s="20" t="n">
        <v>8050</v>
      </c>
      <c r="B109" s="20" t="n">
        <v>35.03</v>
      </c>
      <c r="C109" s="20" t="n">
        <v>144.73</v>
      </c>
      <c r="D109" s="24" t="n">
        <f aca="false">D108+(A109-A108)/2*(COS(RADIANS(B108))+COS(RADIANS(B109)))*(IF(ACOS(MIN(1,MAX(-1,COS(RADIANS(B109-B108))-SIN(RADIANS(B108))*SIN(RADIANS(B109))*(1-COS(RADIANS(C109-C108))))))=0,1,2/(ACOS(MIN(1,MAX(-1,COS(RADIANS(B109-B108))-SIN(RADIANS(B108))*SIN(RADIANS(B109))*(1-COS(RADIANS(C109-C108)))))))*TAN((ACOS(MIN(1,MAX(-1,COS(RADIANS(B109-B108))-SIN(RADIANS(B108))*SIN(RADIANS(B109))*(1-COS(RADIANS(C109-C108)))))))/2)))</f>
        <v>7127.73330020306</v>
      </c>
      <c r="E109" s="24" t="n">
        <f aca="false">E108+(A109-A108)/2*(SIN(RADIANS(B108))*COS(RADIANS(C108))+SIN(RADIANS(B109))*COS(RADIANS(C109)))*(IF(ACOS(MIN(1,MAX(-1,COS(RADIANS(B109-B108))-SIN(RADIANS(B108))*SIN(RADIANS(B109))*(1-COS(RADIANS(C109-C108))))))=0,1,2/(ACOS(MIN(1,MAX(-1,COS(RADIANS(B109-B108))-SIN(RADIANS(B108))*SIN(RADIANS(B109))*(1-COS(RADIANS(C109-C108)))))))*TAN((ACOS(MIN(1,MAX(-1,COS(RADIANS(B109-B108))-SIN(RADIANS(B108))*SIN(RADIANS(B109))*(1-COS(RADIANS(C109-C108)))))))/2)))</f>
        <v>-2484.58124920586</v>
      </c>
      <c r="F109" s="24" t="n">
        <f aca="false">F108+(A109-A108)/2*(SIN(RADIANS(B108))*SIN(RADIANS(C108))+SIN(RADIANS(B109))*SIN(RADIANS(C109)))*(IF(ACOS(MIN(1,MAX(-1,COS(RADIANS(B109-B108))-SIN(RADIANS(B108))*SIN(RADIANS(B109))*(1-COS(RADIANS(C109-C108))))))=0,1,2/(ACOS(MIN(1,MAX(-1,COS(RADIANS(B109-B108))-SIN(RADIANS(B108))*SIN(RADIANS(B109))*(1-COS(RADIANS(C109-C108)))))))*TAN((ACOS(MIN(1,MAX(-1,COS(RADIANS(B109-B108))-SIN(RADIANS(B108))*SIN(RADIANS(B109))*(1-COS(RADIANS(C109-C108)))))))/2)))</f>
        <v>1812.67850896512</v>
      </c>
      <c r="G109" s="24" t="n">
        <f aca="false">IF(H109=0,0,DEGREES(ACOS(MIN(1,MAX(-1,COS(RADIANS(B109-B108))-SIN(RADIANS(B108))*SIN(RADIANS(B109))*(1-COS(RADIANS(C109-C108)))))))*100/H109)</f>
        <v>0.211202294088376</v>
      </c>
      <c r="H109" s="24" t="n">
        <f aca="false">A109-A108</f>
        <v>93</v>
      </c>
      <c r="I109" s="24" t="n">
        <f aca="false">J109*COS(RADIANS(K109-Well_Data!$B$68))</f>
        <v>3075.53414923008</v>
      </c>
      <c r="J109" s="24" t="n">
        <f aca="false">SQRT(E109^2+F109^2)</f>
        <v>3075.54017381815</v>
      </c>
      <c r="K109" s="24" t="n">
        <f aca="false">IF(J109=0,0,MOD(DEGREES(ATAN2(E109,F109)),360))</f>
        <v>143.886592787062</v>
      </c>
    </row>
    <row r="110" customFormat="false" ht="15" hidden="false" customHeight="true" outlineLevel="0" collapsed="false">
      <c r="A110" s="20" t="n">
        <v>8143</v>
      </c>
      <c r="B110" s="20" t="n">
        <v>34.93</v>
      </c>
      <c r="C110" s="20" t="n">
        <v>144.58</v>
      </c>
      <c r="D110" s="24" t="n">
        <f aca="false">D109+(A110-A109)/2*(COS(RADIANS(B109))+COS(RADIANS(B110)))*(IF(ACOS(MIN(1,MAX(-1,COS(RADIANS(B110-B109))-SIN(RADIANS(B109))*SIN(RADIANS(B110))*(1-COS(RADIANS(C110-C109))))))=0,1,2/(ACOS(MIN(1,MAX(-1,COS(RADIANS(B110-B109))-SIN(RADIANS(B109))*SIN(RADIANS(B110))*(1-COS(RADIANS(C110-C109)))))))*TAN((ACOS(MIN(1,MAX(-1,COS(RADIANS(B110-B109))-SIN(RADIANS(B109))*SIN(RADIANS(B110))*(1-COS(RADIANS(C110-C109)))))))/2)))</f>
        <v>7203.93306039582</v>
      </c>
      <c r="E110" s="24" t="n">
        <f aca="false">E109+(A110-A109)/2*(SIN(RADIANS(B109))*COS(RADIANS(C109))+SIN(RADIANS(B110))*COS(RADIANS(C110)))*(IF(ACOS(MIN(1,MAX(-1,COS(RADIANS(B110-B109))-SIN(RADIANS(B109))*SIN(RADIANS(B110))*(1-COS(RADIANS(C110-C109))))))=0,1,2/(ACOS(MIN(1,MAX(-1,COS(RADIANS(B110-B109))-SIN(RADIANS(B109))*SIN(RADIANS(B110))*(1-COS(RADIANS(C110-C109)))))))*TAN((ACOS(MIN(1,MAX(-1,COS(RADIANS(B110-B109))-SIN(RADIANS(B109))*SIN(RADIANS(B110))*(1-COS(RADIANS(C110-C109)))))))/2)))</f>
        <v>-2528.07025658672</v>
      </c>
      <c r="F110" s="24" t="n">
        <f aca="false">F109+(A110-A109)/2*(SIN(RADIANS(B109))*SIN(RADIANS(C109))+SIN(RADIANS(B110))*SIN(RADIANS(C110)))*(IF(ACOS(MIN(1,MAX(-1,COS(RADIANS(B110-B109))-SIN(RADIANS(B109))*SIN(RADIANS(B110))*(1-COS(RADIANS(C110-C109))))))=0,1,2/(ACOS(MIN(1,MAX(-1,COS(RADIANS(B110-B109))-SIN(RADIANS(B109))*SIN(RADIANS(B110))*(1-COS(RADIANS(C110-C109)))))))*TAN((ACOS(MIN(1,MAX(-1,COS(RADIANS(B110-B109))-SIN(RADIANS(B109))*SIN(RADIANS(B110))*(1-COS(RADIANS(C110-C109)))))))/2)))</f>
        <v>1843.52164376845</v>
      </c>
      <c r="G110" s="24" t="n">
        <f aca="false">IF(H110=0,0,DEGREES(ACOS(MIN(1,MAX(-1,COS(RADIANS(B110-B109))-SIN(RADIANS(B109))*SIN(RADIANS(B110))*(1-COS(RADIANS(C110-C109)))))))*100/H110)</f>
        <v>0.141816819821761</v>
      </c>
      <c r="H110" s="24" t="n">
        <f aca="false">A110-A109</f>
        <v>93</v>
      </c>
      <c r="I110" s="24" t="n">
        <f aca="false">J110*COS(RADIANS(K110-Well_Data!$B$68))</f>
        <v>3128.84663504156</v>
      </c>
      <c r="J110" s="24" t="n">
        <f aca="false">SQRT(E110^2+F110^2)</f>
        <v>3128.85143036245</v>
      </c>
      <c r="K110" s="24" t="n">
        <f aca="false">IF(J110=0,0,MOD(DEGREES(ATAN2(E110,F110)),360))</f>
        <v>143.899687731456</v>
      </c>
    </row>
    <row r="111" customFormat="false" ht="15" hidden="false" customHeight="true" outlineLevel="0" collapsed="false">
      <c r="A111" s="20" t="n">
        <v>8200</v>
      </c>
      <c r="B111" s="20" t="n">
        <v>34.79</v>
      </c>
      <c r="C111" s="20" t="n">
        <v>144.72</v>
      </c>
      <c r="D111" s="24" t="n">
        <f aca="false">D110+(A111-A110)/2*(COS(RADIANS(B110))+COS(RADIANS(B111)))*(IF(ACOS(MIN(1,MAX(-1,COS(RADIANS(B111-B110))-SIN(RADIANS(B110))*SIN(RADIANS(B111))*(1-COS(RADIANS(C111-C110))))))=0,1,2/(ACOS(MIN(1,MAX(-1,COS(RADIANS(B111-B110))-SIN(RADIANS(B110))*SIN(RADIANS(B111))*(1-COS(RADIANS(C111-C110)))))))*TAN((ACOS(MIN(1,MAX(-1,COS(RADIANS(B111-B110))-SIN(RADIANS(B110))*SIN(RADIANS(B111))*(1-COS(RADIANS(C111-C110)))))))/2)))</f>
        <v>7250.70446958426</v>
      </c>
      <c r="E111" s="24" t="n">
        <f aca="false">E110+(A111-A110)/2*(SIN(RADIANS(B110))*COS(RADIANS(C110))+SIN(RADIANS(B111))*COS(RADIANS(C111)))*(IF(ACOS(MIN(1,MAX(-1,COS(RADIANS(B111-B110))-SIN(RADIANS(B110))*SIN(RADIANS(B111))*(1-COS(RADIANS(C111-C110))))))=0,1,2/(ACOS(MIN(1,MAX(-1,COS(RADIANS(B111-B110))-SIN(RADIANS(B110))*SIN(RADIANS(B111))*(1-COS(RADIANS(C111-C110)))))))*TAN((ACOS(MIN(1,MAX(-1,COS(RADIANS(B111-B110))-SIN(RADIANS(B110))*SIN(RADIANS(B111))*(1-COS(RADIANS(C111-C110)))))))/2)))</f>
        <v>-2554.64324826641</v>
      </c>
      <c r="F111" s="24" t="n">
        <f aca="false">F110+(A111-A110)/2*(SIN(RADIANS(B110))*SIN(RADIANS(C110))+SIN(RADIANS(B111))*SIN(RADIANS(C111)))*(IF(ACOS(MIN(1,MAX(-1,COS(RADIANS(B111-B110))-SIN(RADIANS(B110))*SIN(RADIANS(B111))*(1-COS(RADIANS(C111-C110))))))=0,1,2/(ACOS(MIN(1,MAX(-1,COS(RADIANS(B111-B110))-SIN(RADIANS(B110))*SIN(RADIANS(B111))*(1-COS(RADIANS(C111-C110)))))))*TAN((ACOS(MIN(1,MAX(-1,COS(RADIANS(B111-B110))-SIN(RADIANS(B110))*SIN(RADIANS(B111))*(1-COS(RADIANS(C111-C110)))))))/2)))</f>
        <v>1862.37129233545</v>
      </c>
      <c r="G111" s="24" t="n">
        <f aca="false">IF(H111=0,0,DEGREES(ACOS(MIN(1,MAX(-1,COS(RADIANS(B111-B110))-SIN(RADIANS(B110))*SIN(RADIANS(B111))*(1-COS(RADIANS(C111-C110)))))))*100/H111)</f>
        <v>0.282903721688203</v>
      </c>
      <c r="H111" s="24" t="n">
        <f aca="false">A111-A110</f>
        <v>57</v>
      </c>
      <c r="I111" s="24" t="n">
        <f aca="false">J111*COS(RADIANS(K111-Well_Data!$B$68))</f>
        <v>3161.4241823404</v>
      </c>
      <c r="J111" s="24" t="n">
        <f aca="false">SQRT(E111^2+F111^2)</f>
        <v>3161.42830955067</v>
      </c>
      <c r="K111" s="24" t="n">
        <f aca="false">IF(J111=0,0,MOD(DEGREES(ATAN2(E111,F111)),360))</f>
        <v>143.90741848011</v>
      </c>
    </row>
    <row r="112" customFormat="false" ht="15" hidden="false" customHeight="true" outlineLevel="0" collapsed="false">
      <c r="A112" s="20" t="n">
        <v>8236</v>
      </c>
      <c r="B112" s="20" t="n">
        <v>34.51</v>
      </c>
      <c r="C112" s="20" t="n">
        <v>144.53</v>
      </c>
      <c r="D112" s="24" t="n">
        <f aca="false">D111+(A112-A111)/2*(COS(RADIANS(B111))+COS(RADIANS(B112)))*(IF(ACOS(MIN(1,MAX(-1,COS(RADIANS(B112-B111))-SIN(RADIANS(B111))*SIN(RADIANS(B112))*(1-COS(RADIANS(C112-C111))))))=0,1,2/(ACOS(MIN(1,MAX(-1,COS(RADIANS(B112-B111))-SIN(RADIANS(B111))*SIN(RADIANS(B112))*(1-COS(RADIANS(C112-C111)))))))*TAN((ACOS(MIN(1,MAX(-1,COS(RADIANS(B112-B111))-SIN(RADIANS(B111))*SIN(RADIANS(B112))*(1-COS(RADIANS(C112-C111)))))))/2)))</f>
        <v>7280.31950753646</v>
      </c>
      <c r="E112" s="24" t="n">
        <f aca="false">E111+(A112-A111)/2*(SIN(RADIANS(B111))*COS(RADIANS(C111))+SIN(RADIANS(B112))*COS(RADIANS(C112)))*(IF(ACOS(MIN(1,MAX(-1,COS(RADIANS(B112-B111))-SIN(RADIANS(B111))*SIN(RADIANS(B112))*(1-COS(RADIANS(C112-C111))))))=0,1,2/(ACOS(MIN(1,MAX(-1,COS(RADIANS(B112-B111))-SIN(RADIANS(B111))*SIN(RADIANS(B112))*(1-COS(RADIANS(C112-C111)))))))*TAN((ACOS(MIN(1,MAX(-1,COS(RADIANS(B112-B111))-SIN(RADIANS(B111))*SIN(RADIANS(B112))*(1-COS(RADIANS(C112-C111)))))))/2)))</f>
        <v>-2571.33267551766</v>
      </c>
      <c r="F112" s="24" t="n">
        <f aca="false">F111+(A112-A111)/2*(SIN(RADIANS(B111))*SIN(RADIANS(C111))+SIN(RADIANS(B112))*SIN(RADIANS(C112)))*(IF(ACOS(MIN(1,MAX(-1,COS(RADIANS(B112-B111))-SIN(RADIANS(B111))*SIN(RADIANS(B112))*(1-COS(RADIANS(C112-C111))))))=0,1,2/(ACOS(MIN(1,MAX(-1,COS(RADIANS(B112-B111))-SIN(RADIANS(B111))*SIN(RADIANS(B112))*(1-COS(RADIANS(C112-C111)))))))*TAN((ACOS(MIN(1,MAX(-1,COS(RADIANS(B112-B111))-SIN(RADIANS(B111))*SIN(RADIANS(B112))*(1-COS(RADIANS(C112-C111)))))))/2)))</f>
        <v>1874.22074725737</v>
      </c>
      <c r="G112" s="24" t="n">
        <f aca="false">IF(H112=0,0,DEGREES(ACOS(MIN(1,MAX(-1,COS(RADIANS(B112-B111))-SIN(RADIANS(B111))*SIN(RADIANS(B112))*(1-COS(RADIANS(C112-C111)))))))*100/H112)</f>
        <v>0.833655505997515</v>
      </c>
      <c r="H112" s="24" t="n">
        <f aca="false">A112-A111</f>
        <v>36</v>
      </c>
      <c r="I112" s="24" t="n">
        <f aca="false">J112*COS(RADIANS(K112-Well_Data!$B$68))</f>
        <v>3181.89114746385</v>
      </c>
      <c r="J112" s="24" t="n">
        <f aca="false">SQRT(E112^2+F112^2)</f>
        <v>3181.89489732687</v>
      </c>
      <c r="K112" s="24" t="n">
        <f aca="false">IF(J112=0,0,MOD(DEGREES(ATAN2(E112,F112)),360))</f>
        <v>143.912036508428</v>
      </c>
    </row>
    <row r="113" customFormat="false" ht="15" hidden="false" customHeight="true" outlineLevel="0" collapsed="false">
      <c r="A113" s="20" t="n">
        <v>8329</v>
      </c>
      <c r="B113" s="20" t="n">
        <v>34.93</v>
      </c>
      <c r="C113" s="20" t="n">
        <v>144.64</v>
      </c>
      <c r="D113" s="24" t="n">
        <f aca="false">D112+(A113-A112)/2*(COS(RADIANS(B112))+COS(RADIANS(B113)))*(IF(ACOS(MIN(1,MAX(-1,COS(RADIANS(B113-B112))-SIN(RADIANS(B112))*SIN(RADIANS(B113))*(1-COS(RADIANS(C113-C112))))))=0,1,2/(ACOS(MIN(1,MAX(-1,COS(RADIANS(B113-B112))-SIN(RADIANS(B112))*SIN(RADIANS(B113))*(1-COS(RADIANS(C113-C112)))))))*TAN((ACOS(MIN(1,MAX(-1,COS(RADIANS(B113-B112))-SIN(RADIANS(B112))*SIN(RADIANS(B113))*(1-COS(RADIANS(C113-C112)))))))/2)))</f>
        <v>7356.76025457297</v>
      </c>
      <c r="E113" s="24" t="n">
        <f aca="false">E112+(A113-A112)/2*(SIN(RADIANS(B112))*COS(RADIANS(C112))+SIN(RADIANS(B113))*COS(RADIANS(C113)))*(IF(ACOS(MIN(1,MAX(-1,COS(RADIANS(B113-B112))-SIN(RADIANS(B112))*SIN(RADIANS(B113))*(1-COS(RADIANS(C113-C112))))))=0,1,2/(ACOS(MIN(1,MAX(-1,COS(RADIANS(B113-B112))-SIN(RADIANS(B112))*SIN(RADIANS(B113))*(1-COS(RADIANS(C113-C112)))))))*TAN((ACOS(MIN(1,MAX(-1,COS(RADIANS(B113-B112))-SIN(RADIANS(B112))*SIN(RADIANS(B113))*(1-COS(RADIANS(C113-C112)))))))/2)))</f>
        <v>-2614.50174448829</v>
      </c>
      <c r="F113" s="24" t="n">
        <f aca="false">F112+(A113-A112)/2*(SIN(RADIANS(B112))*SIN(RADIANS(C112))+SIN(RADIANS(B113))*SIN(RADIANS(C113)))*(IF(ACOS(MIN(1,MAX(-1,COS(RADIANS(B113-B112))-SIN(RADIANS(B112))*SIN(RADIANS(B113))*(1-COS(RADIANS(C113-C112))))))=0,1,2/(ACOS(MIN(1,MAX(-1,COS(RADIANS(B113-B112))-SIN(RADIANS(B112))*SIN(RADIANS(B113))*(1-COS(RADIANS(C113-C112)))))))*TAN((ACOS(MIN(1,MAX(-1,COS(RADIANS(B113-B112))-SIN(RADIANS(B112))*SIN(RADIANS(B113))*(1-COS(RADIANS(C113-C112)))))))/2)))</f>
        <v>1904.91609032185</v>
      </c>
      <c r="G113" s="24" t="n">
        <f aca="false">IF(H113=0,0,DEGREES(ACOS(MIN(1,MAX(-1,COS(RADIANS(B113-B112))-SIN(RADIANS(B112))*SIN(RADIANS(B113))*(1-COS(RADIANS(C113-C112)))))))*100/H113)</f>
        <v>0.45660981587748</v>
      </c>
      <c r="H113" s="24" t="n">
        <f aca="false">A113-A112</f>
        <v>93</v>
      </c>
      <c r="I113" s="24" t="n">
        <f aca="false">J113*COS(RADIANS(K113-Well_Data!$B$68))</f>
        <v>3234.8579278598</v>
      </c>
      <c r="J113" s="24" t="n">
        <f aca="false">SQRT(E113^2+F113^2)</f>
        <v>3234.8608444722</v>
      </c>
      <c r="K113" s="24" t="n">
        <f aca="false">IF(J113=0,0,MOD(DEGREES(ATAN2(E113,F113)),360))</f>
        <v>143.923060524616</v>
      </c>
    </row>
    <row r="114" customFormat="false" ht="15" hidden="false" customHeight="true" outlineLevel="0" collapsed="false">
      <c r="A114" s="20" t="n">
        <v>8422</v>
      </c>
      <c r="B114" s="20" t="n">
        <v>34.93</v>
      </c>
      <c r="C114" s="20" t="n">
        <v>144.96</v>
      </c>
      <c r="D114" s="24" t="n">
        <f aca="false">D113+(A114-A113)/2*(COS(RADIANS(B113))+COS(RADIANS(B114)))*(IF(ACOS(MIN(1,MAX(-1,COS(RADIANS(B114-B113))-SIN(RADIANS(B113))*SIN(RADIANS(B114))*(1-COS(RADIANS(C114-C113))))))=0,1,2/(ACOS(MIN(1,MAX(-1,COS(RADIANS(B114-B113))-SIN(RADIANS(B113))*SIN(RADIANS(B114))*(1-COS(RADIANS(C114-C113)))))))*TAN((ACOS(MIN(1,MAX(-1,COS(RADIANS(B114-B113))-SIN(RADIANS(B113))*SIN(RADIANS(B114))*(1-COS(RADIANS(C114-C113)))))))/2)))</f>
        <v>7433.00657308784</v>
      </c>
      <c r="E114" s="24" t="n">
        <f aca="false">E113+(A114-A113)/2*(SIN(RADIANS(B113))*COS(RADIANS(C113))+SIN(RADIANS(B114))*COS(RADIANS(C114)))*(IF(ACOS(MIN(1,MAX(-1,COS(RADIANS(B114-B113))-SIN(RADIANS(B113))*SIN(RADIANS(B114))*(1-COS(RADIANS(C114-C113))))))=0,1,2/(ACOS(MIN(1,MAX(-1,COS(RADIANS(B114-B113))-SIN(RADIANS(B113))*SIN(RADIANS(B114))*(1-COS(RADIANS(C114-C113)))))))*TAN((ACOS(MIN(1,MAX(-1,COS(RADIANS(B114-B113))-SIN(RADIANS(B113))*SIN(RADIANS(B114))*(1-COS(RADIANS(C114-C113)))))))/2)))</f>
        <v>-2658.01416588265</v>
      </c>
      <c r="F114" s="24" t="n">
        <f aca="false">F113+(A114-A113)/2*(SIN(RADIANS(B113))*SIN(RADIANS(C113))+SIN(RADIANS(B114))*SIN(RADIANS(C114)))*(IF(ACOS(MIN(1,MAX(-1,COS(RADIANS(B114-B113))-SIN(RADIANS(B113))*SIN(RADIANS(B114))*(1-COS(RADIANS(C114-C113))))))=0,1,2/(ACOS(MIN(1,MAX(-1,COS(RADIANS(B114-B113))-SIN(RADIANS(B113))*SIN(RADIANS(B114))*(1-COS(RADIANS(C114-C113)))))))*TAN((ACOS(MIN(1,MAX(-1,COS(RADIANS(B114-B113))-SIN(RADIANS(B113))*SIN(RADIANS(B114))*(1-COS(RADIANS(C114-C113)))))))/2)))</f>
        <v>1935.61072709632</v>
      </c>
      <c r="G114" s="24" t="n">
        <f aca="false">IF(H114=0,0,DEGREES(ACOS(MIN(1,MAX(-1,COS(RADIANS(B114-B113))-SIN(RADIANS(B113))*SIN(RADIANS(B114))*(1-COS(RADIANS(C114-C113)))))))*100/H114)</f>
        <v>0.197014959247256</v>
      </c>
      <c r="H114" s="24" t="n">
        <f aca="false">A114-A113</f>
        <v>93</v>
      </c>
      <c r="I114" s="24" t="n">
        <f aca="false">J114*COS(RADIANS(K114-Well_Data!$B$68))</f>
        <v>3288.10207105474</v>
      </c>
      <c r="J114" s="24" t="n">
        <f aca="false">SQRT(E114^2+F114^2)</f>
        <v>3288.10404228381</v>
      </c>
      <c r="K114" s="24" t="n">
        <f aca="false">IF(J114=0,0,MOD(DEGREES(ATAN2(E114,F114)),360))</f>
        <v>143.93726160205</v>
      </c>
    </row>
    <row r="115" customFormat="false" ht="15" hidden="false" customHeight="true" outlineLevel="0" collapsed="false">
      <c r="A115" s="20" t="n">
        <v>8515</v>
      </c>
      <c r="B115" s="20" t="n">
        <v>34.73</v>
      </c>
      <c r="C115" s="20" t="n">
        <v>145.04</v>
      </c>
      <c r="D115" s="24" t="n">
        <f aca="false">D114+(A115-A114)/2*(COS(RADIANS(B114))+COS(RADIANS(B115)))*(IF(ACOS(MIN(1,MAX(-1,COS(RADIANS(B115-B114))-SIN(RADIANS(B114))*SIN(RADIANS(B115))*(1-COS(RADIANS(C115-C114))))))=0,1,2/(ACOS(MIN(1,MAX(-1,COS(RADIANS(B115-B114))-SIN(RADIANS(B114))*SIN(RADIANS(B115))*(1-COS(RADIANS(C115-C114)))))))*TAN((ACOS(MIN(1,MAX(-1,COS(RADIANS(B115-B114))-SIN(RADIANS(B114))*SIN(RADIANS(B115))*(1-COS(RADIANS(C115-C114)))))))/2)))</f>
        <v>7509.34561364093</v>
      </c>
      <c r="E115" s="24" t="n">
        <f aca="false">E114+(A115-A114)/2*(SIN(RADIANS(B114))*COS(RADIANS(C114))+SIN(RADIANS(B115))*COS(RADIANS(C115)))*(IF(ACOS(MIN(1,MAX(-1,COS(RADIANS(B115-B114))-SIN(RADIANS(B114))*SIN(RADIANS(B115))*(1-COS(RADIANS(C115-C114))))))=0,1,2/(ACOS(MIN(1,MAX(-1,COS(RADIANS(B115-B114))-SIN(RADIANS(B114))*SIN(RADIANS(B115))*(1-COS(RADIANS(C115-C114)))))))*TAN((ACOS(MIN(1,MAX(-1,COS(RADIANS(B115-B114))-SIN(RADIANS(B114))*SIN(RADIANS(B115))*(1-COS(RADIANS(C115-C114)))))))/2)))</f>
        <v>-2701.52444073763</v>
      </c>
      <c r="F115" s="24" t="n">
        <f aca="false">F114+(A115-A114)/2*(SIN(RADIANS(B114))*SIN(RADIANS(C114))+SIN(RADIANS(B115))*SIN(RADIANS(C115)))*(IF(ACOS(MIN(1,MAX(-1,COS(RADIANS(B115-B114))-SIN(RADIANS(B114))*SIN(RADIANS(B115))*(1-COS(RADIANS(C115-C114))))))=0,1,2/(ACOS(MIN(1,MAX(-1,COS(RADIANS(B115-B114))-SIN(RADIANS(B114))*SIN(RADIANS(B115))*(1-COS(RADIANS(C115-C114)))))))*TAN((ACOS(MIN(1,MAX(-1,COS(RADIANS(B115-B114))-SIN(RADIANS(B114))*SIN(RADIANS(B115))*(1-COS(RADIANS(C115-C114)))))))/2)))</f>
        <v>1966.07706309201</v>
      </c>
      <c r="G115" s="24" t="n">
        <f aca="false">IF(H115=0,0,DEGREES(ACOS(MIN(1,MAX(-1,COS(RADIANS(B115-B114))-SIN(RADIANS(B114))*SIN(RADIANS(B115))*(1-COS(RADIANS(C115-C114)))))))*100/H115)</f>
        <v>0.220594471731023</v>
      </c>
      <c r="H115" s="24" t="n">
        <f aca="false">A115-A114</f>
        <v>93</v>
      </c>
      <c r="I115" s="24" t="n">
        <f aca="false">J115*COS(RADIANS(K115-Well_Data!$B$68))</f>
        <v>3341.210285832</v>
      </c>
      <c r="J115" s="24" t="n">
        <f aca="false">SQRT(E115^2+F115^2)</f>
        <v>3341.21135546964</v>
      </c>
      <c r="K115" s="24" t="n">
        <f aca="false">IF(J115=0,0,MOD(DEGREES(ATAN2(E115,F115)),360))</f>
        <v>143.954153730183</v>
      </c>
    </row>
    <row r="116" customFormat="false" ht="15" hidden="false" customHeight="true" outlineLevel="0" collapsed="false">
      <c r="A116" s="20" t="n">
        <v>8608</v>
      </c>
      <c r="B116" s="20" t="n">
        <v>34.72</v>
      </c>
      <c r="C116" s="20" t="n">
        <v>144.96</v>
      </c>
      <c r="D116" s="24" t="n">
        <f aca="false">D115+(A116-A115)/2*(COS(RADIANS(B115))+COS(RADIANS(B116)))*(IF(ACOS(MIN(1,MAX(-1,COS(RADIANS(B116-B115))-SIN(RADIANS(B115))*SIN(RADIANS(B116))*(1-COS(RADIANS(C116-C115))))))=0,1,2/(ACOS(MIN(1,MAX(-1,COS(RADIANS(B116-B115))-SIN(RADIANS(B115))*SIN(RADIANS(B116))*(1-COS(RADIANS(C116-C115)))))))*TAN((ACOS(MIN(1,MAX(-1,COS(RADIANS(B116-B115))-SIN(RADIANS(B115))*SIN(RADIANS(B116))*(1-COS(RADIANS(C116-C115)))))))/2)))</f>
        <v>7585.78190537185</v>
      </c>
      <c r="E116" s="24" t="n">
        <f aca="false">E115+(A116-A115)/2*(SIN(RADIANS(B115))*COS(RADIANS(C115))+SIN(RADIANS(B116))*COS(RADIANS(C116)))*(IF(ACOS(MIN(1,MAX(-1,COS(RADIANS(B116-B115))-SIN(RADIANS(B115))*SIN(RADIANS(B116))*(1-COS(RADIANS(C116-C115))))))=0,1,2/(ACOS(MIN(1,MAX(-1,COS(RADIANS(B116-B115))-SIN(RADIANS(B115))*SIN(RADIANS(B116))*(1-COS(RADIANS(C116-C115)))))))*TAN((ACOS(MIN(1,MAX(-1,COS(RADIANS(B116-B115))-SIN(RADIANS(B115))*SIN(RADIANS(B116))*(1-COS(RADIANS(C116-C115)))))))/2)))</f>
        <v>-2744.92012238693</v>
      </c>
      <c r="F116" s="24" t="n">
        <f aca="false">F115+(A116-A115)/2*(SIN(RADIANS(B115))*SIN(RADIANS(C115))+SIN(RADIANS(B116))*SIN(RADIANS(C116)))*(IF(ACOS(MIN(1,MAX(-1,COS(RADIANS(B116-B115))-SIN(RADIANS(B115))*SIN(RADIANS(B116))*(1-COS(RADIANS(C116-C115))))))=0,1,2/(ACOS(MIN(1,MAX(-1,COS(RADIANS(B116-B115))-SIN(RADIANS(B115))*SIN(RADIANS(B116))*(1-COS(RADIANS(C116-C115)))))))*TAN((ACOS(MIN(1,MAX(-1,COS(RADIANS(B116-B115))-SIN(RADIANS(B115))*SIN(RADIANS(B116))*(1-COS(RADIANS(C116-C115)))))))/2)))</f>
        <v>1996.46304082374</v>
      </c>
      <c r="G116" s="24" t="n">
        <f aca="false">IF(H116=0,0,DEGREES(ACOS(MIN(1,MAX(-1,COS(RADIANS(B116-B115))-SIN(RADIANS(B115))*SIN(RADIANS(B116))*(1-COS(RADIANS(C116-C115)))))))*100/H116)</f>
        <v>0.0501670335003074</v>
      </c>
      <c r="H116" s="24" t="n">
        <f aca="false">A116-A115</f>
        <v>93</v>
      </c>
      <c r="I116" s="24" t="n">
        <f aca="false">J116*COS(RADIANS(K116-Well_Data!$B$68))</f>
        <v>3394.17855935596</v>
      </c>
      <c r="J116" s="24" t="n">
        <f aca="false">SQRT(E116^2+F116^2)</f>
        <v>3394.179009961</v>
      </c>
      <c r="K116" s="24" t="n">
        <f aca="false">IF(J116=0,0,MOD(DEGREES(ATAN2(E116,F116)),360))</f>
        <v>143.970476469942</v>
      </c>
    </row>
    <row r="117" customFormat="false" ht="15" hidden="false" customHeight="true" outlineLevel="0" collapsed="false">
      <c r="A117" s="20" t="n">
        <v>8701</v>
      </c>
      <c r="B117" s="20" t="n">
        <v>34.97</v>
      </c>
      <c r="C117" s="20" t="n">
        <v>144.98</v>
      </c>
      <c r="D117" s="24" t="n">
        <f aca="false">D116+(A117-A116)/2*(COS(RADIANS(B116))+COS(RADIANS(B117)))*(IF(ACOS(MIN(1,MAX(-1,COS(RADIANS(B117-B116))-SIN(RADIANS(B116))*SIN(RADIANS(B117))*(1-COS(RADIANS(C117-C116))))))=0,1,2/(ACOS(MIN(1,MAX(-1,COS(RADIANS(B117-B116))-SIN(RADIANS(B116))*SIN(RADIANS(B117))*(1-COS(RADIANS(C117-C116)))))))*TAN((ACOS(MIN(1,MAX(-1,COS(RADIANS(B117-B116))-SIN(RADIANS(B116))*SIN(RADIANS(B117))*(1-COS(RADIANS(C117-C116)))))))/2)))</f>
        <v>7662.10701190123</v>
      </c>
      <c r="E117" s="24" t="n">
        <f aca="false">E116+(A117-A116)/2*(SIN(RADIANS(B116))*COS(RADIANS(C116))+SIN(RADIANS(B117))*COS(RADIANS(C117)))*(IF(ACOS(MIN(1,MAX(-1,COS(RADIANS(B117-B116))-SIN(RADIANS(B116))*SIN(RADIANS(B117))*(1-COS(RADIANS(C117-C116))))))=0,1,2/(ACOS(MIN(1,MAX(-1,COS(RADIANS(B117-B116))-SIN(RADIANS(B116))*SIN(RADIANS(B117))*(1-COS(RADIANS(C117-C116)))))))*TAN((ACOS(MIN(1,MAX(-1,COS(RADIANS(B117-B116))-SIN(RADIANS(B116))*SIN(RADIANS(B117))*(1-COS(RADIANS(C117-C116)))))))/2)))</f>
        <v>-2788.43086824516</v>
      </c>
      <c r="F117" s="24" t="n">
        <f aca="false">F116+(A117-A116)/2*(SIN(RADIANS(B116))*SIN(RADIANS(C116))+SIN(RADIANS(B117))*SIN(RADIANS(C117)))*(IF(ACOS(MIN(1,MAX(-1,COS(RADIANS(B117-B116))-SIN(RADIANS(B116))*SIN(RADIANS(B117))*(1-COS(RADIANS(C117-C116))))))=0,1,2/(ACOS(MIN(1,MAX(-1,COS(RADIANS(B117-B116))-SIN(RADIANS(B116))*SIN(RADIANS(B117))*(1-COS(RADIANS(C117-C116)))))))*TAN((ACOS(MIN(1,MAX(-1,COS(RADIANS(B117-B116))-SIN(RADIANS(B116))*SIN(RADIANS(B117))*(1-COS(RADIANS(C117-C116)))))))/2)))</f>
        <v>2026.96352208905</v>
      </c>
      <c r="G117" s="24" t="n">
        <f aca="false">IF(H117=0,0,DEGREES(ACOS(MIN(1,MAX(-1,COS(RADIANS(B117-B116))-SIN(RADIANS(B116))*SIN(RADIANS(B117))*(1-COS(RADIANS(C117-C116)))))))*100/H117)</f>
        <v>0.269097872064222</v>
      </c>
      <c r="H117" s="24" t="n">
        <f aca="false">A117-A116</f>
        <v>93</v>
      </c>
      <c r="I117" s="24" t="n">
        <f aca="false">J117*COS(RADIANS(K117-Well_Data!$B$68))</f>
        <v>3447.30722526878</v>
      </c>
      <c r="J117" s="24" t="n">
        <f aca="false">SQRT(E117^2+F117^2)</f>
        <v>3447.30732991158</v>
      </c>
      <c r="K117" s="24" t="n">
        <f aca="false">IF(J117=0,0,MOD(DEGREES(ATAN2(E117,F117)),360))</f>
        <v>143.985882678281</v>
      </c>
    </row>
    <row r="118" customFormat="false" ht="15" hidden="false" customHeight="true" outlineLevel="0" collapsed="false">
      <c r="A118" s="20" t="n">
        <v>8794</v>
      </c>
      <c r="B118" s="20" t="n">
        <v>34.58</v>
      </c>
      <c r="C118" s="20" t="n">
        <v>144.83</v>
      </c>
      <c r="D118" s="24" t="n">
        <f aca="false">D117+(A118-A117)/2*(COS(RADIANS(B117))+COS(RADIANS(B118)))*(IF(ACOS(MIN(1,MAX(-1,COS(RADIANS(B118-B117))-SIN(RADIANS(B117))*SIN(RADIANS(B118))*(1-COS(RADIANS(C118-C117))))))=0,1,2/(ACOS(MIN(1,MAX(-1,COS(RADIANS(B118-B117))-SIN(RADIANS(B117))*SIN(RADIANS(B118))*(1-COS(RADIANS(C118-C117)))))))*TAN((ACOS(MIN(1,MAX(-1,COS(RADIANS(B118-B117))-SIN(RADIANS(B117))*SIN(RADIANS(B118))*(1-COS(RADIANS(C118-C117)))))))/2)))</f>
        <v>7738.49690673316</v>
      </c>
      <c r="E118" s="24" t="n">
        <f aca="false">E117+(A118-A117)/2*(SIN(RADIANS(B117))*COS(RADIANS(C117))+SIN(RADIANS(B118))*COS(RADIANS(C118)))*(IF(ACOS(MIN(1,MAX(-1,COS(RADIANS(B118-B117))-SIN(RADIANS(B117))*SIN(RADIANS(B118))*(1-COS(RADIANS(C118-C117))))))=0,1,2/(ACOS(MIN(1,MAX(-1,COS(RADIANS(B118-B117))-SIN(RADIANS(B117))*SIN(RADIANS(B118))*(1-COS(RADIANS(C118-C117)))))))*TAN((ACOS(MIN(1,MAX(-1,COS(RADIANS(B118-B117))-SIN(RADIANS(B117))*SIN(RADIANS(B118))*(1-COS(RADIANS(C118-C117)))))))/2)))</f>
        <v>-2831.83075689833</v>
      </c>
      <c r="F118" s="24" t="n">
        <f aca="false">F117+(A118-A117)/2*(SIN(RADIANS(B117))*SIN(RADIANS(C117))+SIN(RADIANS(B118))*SIN(RADIANS(C118)))*(IF(ACOS(MIN(1,MAX(-1,COS(RADIANS(B118-B117))-SIN(RADIANS(B117))*SIN(RADIANS(B118))*(1-COS(RADIANS(C118-C117))))))=0,1,2/(ACOS(MIN(1,MAX(-1,COS(RADIANS(B118-B117))-SIN(RADIANS(B117))*SIN(RADIANS(B118))*(1-COS(RADIANS(C118-C117)))))))*TAN((ACOS(MIN(1,MAX(-1,COS(RADIANS(B118-B117))-SIN(RADIANS(B117))*SIN(RADIANS(B118))*(1-COS(RADIANS(C118-C117)))))))/2)))</f>
        <v>2057.45940101656</v>
      </c>
      <c r="G118" s="24" t="n">
        <f aca="false">IF(H118=0,0,DEGREES(ACOS(MIN(1,MAX(-1,COS(RADIANS(B118-B117))-SIN(RADIANS(B117))*SIN(RADIANS(B118))*(1-COS(RADIANS(C118-C117)))))))*100/H118)</f>
        <v>0.429326114495626</v>
      </c>
      <c r="H118" s="24" t="n">
        <f aca="false">A118-A117</f>
        <v>93</v>
      </c>
      <c r="I118" s="24" t="n">
        <f aca="false">J118*COS(RADIANS(K118-Well_Data!$B$68))</f>
        <v>3500.34350063246</v>
      </c>
      <c r="J118" s="24" t="n">
        <f aca="false">SQRT(E118^2+F118^2)</f>
        <v>3500.34350065058</v>
      </c>
      <c r="K118" s="24" t="n">
        <f aca="false">IF(J118=0,0,MOD(DEGREES(ATAN2(E118,F118)),360))</f>
        <v>143.999815611371</v>
      </c>
    </row>
    <row r="119" customFormat="false" ht="15" hidden="false" customHeight="true" outlineLevel="0" collapsed="false">
      <c r="A119" s="20" t="n">
        <v>8887</v>
      </c>
      <c r="B119" s="20" t="n">
        <v>34.92</v>
      </c>
      <c r="C119" s="20" t="n">
        <v>145.06</v>
      </c>
      <c r="D119" s="24" t="n">
        <f aca="false">D118+(A119-A118)/2*(COS(RADIANS(B118))+COS(RADIANS(B119)))*(IF(ACOS(MIN(1,MAX(-1,COS(RADIANS(B119-B118))-SIN(RADIANS(B118))*SIN(RADIANS(B119))*(1-COS(RADIANS(C119-C118))))))=0,1,2/(ACOS(MIN(1,MAX(-1,COS(RADIANS(B119-B118))-SIN(RADIANS(B118))*SIN(RADIANS(B119))*(1-COS(RADIANS(C119-C118)))))))*TAN((ACOS(MIN(1,MAX(-1,COS(RADIANS(B119-B118))-SIN(RADIANS(B118))*SIN(RADIANS(B119))*(1-COS(RADIANS(C119-C118)))))))/2)))</f>
        <v>7814.9099931829</v>
      </c>
      <c r="E119" s="24" t="n">
        <f aca="false">E118+(A119-A118)/2*(SIN(RADIANS(B118))*COS(RADIANS(C118))+SIN(RADIANS(B119))*COS(RADIANS(C119)))*(IF(ACOS(MIN(1,MAX(-1,COS(RADIANS(B119-B118))-SIN(RADIANS(B118))*SIN(RADIANS(B119))*(1-COS(RADIANS(C119-C118))))))=0,1,2/(ACOS(MIN(1,MAX(-1,COS(RADIANS(B119-B118))-SIN(RADIANS(B118))*SIN(RADIANS(B119))*(1-COS(RADIANS(C119-C118)))))))*TAN((ACOS(MIN(1,MAX(-1,COS(RADIANS(B119-B118))-SIN(RADIANS(B118))*SIN(RADIANS(B119))*(1-COS(RADIANS(C119-C118)))))))/2)))</f>
        <v>-2875.22468254648</v>
      </c>
      <c r="F119" s="24" t="n">
        <f aca="false">F118+(A119-A118)/2*(SIN(RADIANS(B118))*SIN(RADIANS(C118))+SIN(RADIANS(B119))*SIN(RADIANS(C119)))*(IF(ACOS(MIN(1,MAX(-1,COS(RADIANS(B119-B118))-SIN(RADIANS(B118))*SIN(RADIANS(B119))*(1-COS(RADIANS(C119-C118))))))=0,1,2/(ACOS(MIN(1,MAX(-1,COS(RADIANS(B119-B118))-SIN(RADIANS(B118))*SIN(RADIANS(B119))*(1-COS(RADIANS(C119-C118)))))))*TAN((ACOS(MIN(1,MAX(-1,COS(RADIANS(B119-B118))-SIN(RADIANS(B118))*SIN(RADIANS(B119))*(1-COS(RADIANS(C119-C118)))))))/2)))</f>
        <v>2087.90571905999</v>
      </c>
      <c r="G119" s="24" t="n">
        <f aca="false">IF(H119=0,0,DEGREES(ACOS(MIN(1,MAX(-1,COS(RADIANS(B119-B118))-SIN(RADIANS(B118))*SIN(RADIANS(B119))*(1-COS(RADIANS(C119-C118)))))))*100/H119)</f>
        <v>0.39182688636911</v>
      </c>
      <c r="H119" s="24" t="n">
        <f aca="false">A119-A118</f>
        <v>93</v>
      </c>
      <c r="I119" s="24" t="n">
        <f aca="false">J119*COS(RADIANS(K119-Well_Data!$B$68))</f>
        <v>3553.34582066699</v>
      </c>
      <c r="J119" s="24" t="n">
        <f aca="false">SQRT(E119^2+F119^2)</f>
        <v>3553.34592557605</v>
      </c>
      <c r="K119" s="24" t="n">
        <f aca="false">IF(J119=0,0,MOD(DEGREES(ATAN2(E119,F119)),360))</f>
        <v>144.013922761624</v>
      </c>
    </row>
    <row r="120" customFormat="false" ht="15" hidden="false" customHeight="true" outlineLevel="0" collapsed="false">
      <c r="A120" s="20" t="n">
        <v>8980</v>
      </c>
      <c r="B120" s="20" t="n">
        <v>34.96</v>
      </c>
      <c r="C120" s="20" t="n">
        <v>144.74</v>
      </c>
      <c r="D120" s="24" t="n">
        <f aca="false">D119+(A120-A119)/2*(COS(RADIANS(B119))+COS(RADIANS(B120)))*(IF(ACOS(MIN(1,MAX(-1,COS(RADIANS(B120-B119))-SIN(RADIANS(B119))*SIN(RADIANS(B120))*(1-COS(RADIANS(C120-C119))))))=0,1,2/(ACOS(MIN(1,MAX(-1,COS(RADIANS(B120-B119))-SIN(RADIANS(B119))*SIN(RADIANS(B120))*(1-COS(RADIANS(C120-C119)))))))*TAN((ACOS(MIN(1,MAX(-1,COS(RADIANS(B120-B119))-SIN(RADIANS(B119))*SIN(RADIANS(B120))*(1-COS(RADIANS(C120-C119)))))))/2)))</f>
        <v>7891.14701522256</v>
      </c>
      <c r="E120" s="24" t="n">
        <f aca="false">E119+(A120-A119)/2*(SIN(RADIANS(B119))*COS(RADIANS(C119))+SIN(RADIANS(B120))*COS(RADIANS(C120)))*(IF(ACOS(MIN(1,MAX(-1,COS(RADIANS(B120-B119))-SIN(RADIANS(B119))*SIN(RADIANS(B120))*(1-COS(RADIANS(C120-C119))))))=0,1,2/(ACOS(MIN(1,MAX(-1,COS(RADIANS(B120-B119))-SIN(RADIANS(B119))*SIN(RADIANS(B120))*(1-COS(RADIANS(C120-C119)))))))*TAN((ACOS(MIN(1,MAX(-1,COS(RADIANS(B120-B119))-SIN(RADIANS(B119))*SIN(RADIANS(B120))*(1-COS(RADIANS(C120-C119)))))))/2)))</f>
        <v>-2918.80145310619</v>
      </c>
      <c r="F120" s="24" t="n">
        <f aca="false">F119+(A120-A119)/2*(SIN(RADIANS(B119))*SIN(RADIANS(C119))+SIN(RADIANS(B120))*SIN(RADIANS(C120)))*(IF(ACOS(MIN(1,MAX(-1,COS(RADIANS(B120-B119))-SIN(RADIANS(B119))*SIN(RADIANS(B120))*(1-COS(RADIANS(C120-C119))))))=0,1,2/(ACOS(MIN(1,MAX(-1,COS(RADIANS(B120-B119))-SIN(RADIANS(B119))*SIN(RADIANS(B120))*(1-COS(RADIANS(C120-C119)))))))*TAN((ACOS(MIN(1,MAX(-1,COS(RADIANS(B120-B119))-SIN(RADIANS(B119))*SIN(RADIANS(B120))*(1-COS(RADIANS(C120-C119)))))))/2)))</f>
        <v>2118.53207719367</v>
      </c>
      <c r="G120" s="24" t="n">
        <f aca="false">IF(H120=0,0,DEGREES(ACOS(MIN(1,MAX(-1,COS(RADIANS(B120-B119))-SIN(RADIANS(B119))*SIN(RADIANS(B120))*(1-COS(RADIANS(C120-C119)))))))*100/H120)</f>
        <v>0.201703270462147</v>
      </c>
      <c r="H120" s="24" t="n">
        <f aca="false">A120-A119</f>
        <v>93</v>
      </c>
      <c r="I120" s="24" t="n">
        <f aca="false">J120*COS(RADIANS(K120-Well_Data!$B$68))</f>
        <v>3606.60189025218</v>
      </c>
      <c r="J120" s="24" t="n">
        <f aca="false">SQRT(E120^2+F120^2)</f>
        <v>3606.60229090391</v>
      </c>
      <c r="K120" s="24" t="n">
        <f aca="false">IF(J120=0,0,MOD(DEGREES(ATAN2(E120,F120)),360))</f>
        <v>144.02700673107</v>
      </c>
    </row>
    <row r="121" customFormat="false" ht="15" hidden="false" customHeight="true" outlineLevel="0" collapsed="false">
      <c r="A121" s="20" t="n">
        <v>9073</v>
      </c>
      <c r="B121" s="20" t="n">
        <v>34.91</v>
      </c>
      <c r="C121" s="20" t="n">
        <v>144.93</v>
      </c>
      <c r="D121" s="24" t="n">
        <f aca="false">D120+(A121-A120)/2*(COS(RADIANS(B120))+COS(RADIANS(B121)))*(IF(ACOS(MIN(1,MAX(-1,COS(RADIANS(B121-B120))-SIN(RADIANS(B120))*SIN(RADIANS(B121))*(1-COS(RADIANS(C121-C120))))))=0,1,2/(ACOS(MIN(1,MAX(-1,COS(RADIANS(B121-B120))-SIN(RADIANS(B120))*SIN(RADIANS(B121))*(1-COS(RADIANS(C121-C120)))))))*TAN((ACOS(MIN(1,MAX(-1,COS(RADIANS(B121-B120))-SIN(RADIANS(B120))*SIN(RADIANS(B121))*(1-COS(RADIANS(C121-C120)))))))/2)))</f>
        <v>7967.38864206729</v>
      </c>
      <c r="E121" s="24" t="n">
        <f aca="false">E120+(A121-A120)/2*(SIN(RADIANS(B120))*COS(RADIANS(C120))+SIN(RADIANS(B121))*COS(RADIANS(C121)))*(IF(ACOS(MIN(1,MAX(-1,COS(RADIANS(B121-B120))-SIN(RADIANS(B120))*SIN(RADIANS(B121))*(1-COS(RADIANS(C121-C120))))))=0,1,2/(ACOS(MIN(1,MAX(-1,COS(RADIANS(B121-B120))-SIN(RADIANS(B120))*SIN(RADIANS(B121))*(1-COS(RADIANS(C121-C120)))))))*TAN((ACOS(MIN(1,MAX(-1,COS(RADIANS(B121-B120))-SIN(RADIANS(B120))*SIN(RADIANS(B121))*(1-COS(RADIANS(C121-C120)))))))/2)))</f>
        <v>-2962.33810863917</v>
      </c>
      <c r="F121" s="24" t="n">
        <f aca="false">F120+(A121-A120)/2*(SIN(RADIANS(B120))*SIN(RADIANS(C120))+SIN(RADIANS(B121))*SIN(RADIANS(C121)))*(IF(ACOS(MIN(1,MAX(-1,COS(RADIANS(B121-B120))-SIN(RADIANS(B120))*SIN(RADIANS(B121))*(1-COS(RADIANS(C121-C120))))))=0,1,2/(ACOS(MIN(1,MAX(-1,COS(RADIANS(B121-B120))-SIN(RADIANS(B120))*SIN(RADIANS(B121))*(1-COS(RADIANS(C121-C120)))))))*TAN((ACOS(MIN(1,MAX(-1,COS(RADIANS(B121-B120))-SIN(RADIANS(B120))*SIN(RADIANS(B121))*(1-COS(RADIANS(C121-C120)))))))/2)))</f>
        <v>2149.20406462697</v>
      </c>
      <c r="G121" s="24" t="n">
        <f aca="false">IF(H121=0,0,DEGREES(ACOS(MIN(1,MAX(-1,COS(RADIANS(B121-B120))-SIN(RADIANS(B120))*SIN(RADIANS(B121))*(1-COS(RADIANS(C121-C120)))))))*100/H121)</f>
        <v>0.128754429219254</v>
      </c>
      <c r="H121" s="24" t="n">
        <f aca="false">A121-A120</f>
        <v>93</v>
      </c>
      <c r="I121" s="24" t="n">
        <f aca="false">J121*COS(RADIANS(K121-Well_Data!$B$68))</f>
        <v>3659.8523263284</v>
      </c>
      <c r="J121" s="24" t="n">
        <f aca="false">SQRT(E121^2+F121^2)</f>
        <v>3659.85316389947</v>
      </c>
      <c r="K121" s="24" t="n">
        <f aca="false">IF(J121=0,0,MOD(DEGREES(ATAN2(E121,F121)),360))</f>
        <v>144.038762934084</v>
      </c>
    </row>
    <row r="122" customFormat="false" ht="15" hidden="false" customHeight="true" outlineLevel="0" collapsed="false">
      <c r="A122" s="20" t="n">
        <v>9166</v>
      </c>
      <c r="B122" s="20" t="n">
        <v>35.02</v>
      </c>
      <c r="C122" s="20" t="n">
        <v>144.78</v>
      </c>
      <c r="D122" s="24" t="n">
        <f aca="false">D121+(A122-A121)/2*(COS(RADIANS(B121))+COS(RADIANS(B122)))*(IF(ACOS(MIN(1,MAX(-1,COS(RADIANS(B122-B121))-SIN(RADIANS(B121))*SIN(RADIANS(B122))*(1-COS(RADIANS(C122-C121))))))=0,1,2/(ACOS(MIN(1,MAX(-1,COS(RADIANS(B122-B121))-SIN(RADIANS(B121))*SIN(RADIANS(B122))*(1-COS(RADIANS(C122-C121)))))))*TAN((ACOS(MIN(1,MAX(-1,COS(RADIANS(B122-B121))-SIN(RADIANS(B121))*SIN(RADIANS(B122))*(1-COS(RADIANS(C122-C121)))))))/2)))</f>
        <v>8043.60235570689</v>
      </c>
      <c r="E122" s="24" t="n">
        <f aca="false">E121+(A122-A121)/2*(SIN(RADIANS(B121))*COS(RADIANS(C121))+SIN(RADIANS(B122))*COS(RADIANS(C122)))*(IF(ACOS(MIN(1,MAX(-1,COS(RADIANS(B122-B121))-SIN(RADIANS(B121))*SIN(RADIANS(B122))*(1-COS(RADIANS(C122-C121))))))=0,1,2/(ACOS(MIN(1,MAX(-1,COS(RADIANS(B122-B121))-SIN(RADIANS(B121))*SIN(RADIANS(B122))*(1-COS(RADIANS(C122-C121)))))))*TAN((ACOS(MIN(1,MAX(-1,COS(RADIANS(B122-B121))-SIN(RADIANS(B121))*SIN(RADIANS(B122))*(1-COS(RADIANS(C122-C121)))))))/2)))</f>
        <v>-3005.91809352451</v>
      </c>
      <c r="F122" s="24" t="n">
        <f aca="false">F121+(A122-A121)/2*(SIN(RADIANS(B121))*SIN(RADIANS(C121))+SIN(RADIANS(B122))*SIN(RADIANS(C122)))*(IF(ACOS(MIN(1,MAX(-1,COS(RADIANS(B122-B121))-SIN(RADIANS(B121))*SIN(RADIANS(B122))*(1-COS(RADIANS(C122-C121))))))=0,1,2/(ACOS(MIN(1,MAX(-1,COS(RADIANS(B122-B121))-SIN(RADIANS(B121))*SIN(RADIANS(B122))*(1-COS(RADIANS(C122-C121)))))))*TAN((ACOS(MIN(1,MAX(-1,COS(RADIANS(B122-B121))-SIN(RADIANS(B121))*SIN(RADIANS(B122))*(1-COS(RADIANS(C122-C121)))))))/2)))</f>
        <v>2179.88387055387</v>
      </c>
      <c r="G122" s="24" t="n">
        <f aca="false">IF(H122=0,0,DEGREES(ACOS(MIN(1,MAX(-1,COS(RADIANS(B122-B121))-SIN(RADIANS(B121))*SIN(RADIANS(B122))*(1-COS(RADIANS(C122-C121)))))))*100/H122)</f>
        <v>0.15011207767729</v>
      </c>
      <c r="H122" s="24" t="n">
        <f aca="false">A122-A121</f>
        <v>93</v>
      </c>
      <c r="I122" s="24" t="n">
        <f aca="false">J122*COS(RADIANS(K122-Well_Data!$B$68))</f>
        <v>3713.14241218227</v>
      </c>
      <c r="J122" s="24" t="n">
        <f aca="false">SQRT(E122^2+F122^2)</f>
        <v>3713.14385313563</v>
      </c>
      <c r="K122" s="24" t="n">
        <f aca="false">IF(J122=0,0,MOD(DEGREES(ATAN2(E122,F122)),360))</f>
        <v>144.050476788922</v>
      </c>
    </row>
    <row r="123" customFormat="false" ht="15" hidden="false" customHeight="true" outlineLevel="0" collapsed="false">
      <c r="A123" s="20" t="n">
        <v>9259</v>
      </c>
      <c r="B123" s="20" t="n">
        <v>34.86</v>
      </c>
      <c r="C123" s="20" t="n">
        <v>144.77</v>
      </c>
      <c r="D123" s="24" t="n">
        <f aca="false">D122+(A123-A122)/2*(COS(RADIANS(B122))+COS(RADIANS(B123)))*(IF(ACOS(MIN(1,MAX(-1,COS(RADIANS(B123-B122))-SIN(RADIANS(B122))*SIN(RADIANS(B123))*(1-COS(RADIANS(C123-C122))))))=0,1,2/(ACOS(MIN(1,MAX(-1,COS(RADIANS(B123-B122))-SIN(RADIANS(B122))*SIN(RADIANS(B123))*(1-COS(RADIANS(C123-C122)))))))*TAN((ACOS(MIN(1,MAX(-1,COS(RADIANS(B123-B122))-SIN(RADIANS(B122))*SIN(RADIANS(B123))*(1-COS(RADIANS(C123-C122)))))))/2)))</f>
        <v>8119.83928958582</v>
      </c>
      <c r="E123" s="24" t="n">
        <f aca="false">E122+(A123-A122)/2*(SIN(RADIANS(B122))*COS(RADIANS(C122))+SIN(RADIANS(B123))*COS(RADIANS(C123)))*(IF(ACOS(MIN(1,MAX(-1,COS(RADIANS(B123-B122))-SIN(RADIANS(B122))*SIN(RADIANS(B123))*(1-COS(RADIANS(C123-C122))))))=0,1,2/(ACOS(MIN(1,MAX(-1,COS(RADIANS(B123-B122))-SIN(RADIANS(B122))*SIN(RADIANS(B123))*(1-COS(RADIANS(C123-C122)))))))*TAN((ACOS(MIN(1,MAX(-1,COS(RADIANS(B123-B122))-SIN(RADIANS(B122))*SIN(RADIANS(B123))*(1-COS(RADIANS(C123-C122)))))))/2)))</f>
        <v>-3049.42811147444</v>
      </c>
      <c r="F123" s="24" t="n">
        <f aca="false">F122+(A123-A122)/2*(SIN(RADIANS(B122))*SIN(RADIANS(C122))+SIN(RADIANS(B123))*SIN(RADIANS(C123)))*(IF(ACOS(MIN(1,MAX(-1,COS(RADIANS(B123-B122))-SIN(RADIANS(B122))*SIN(RADIANS(B123))*(1-COS(RADIANS(C123-C122))))))=0,1,2/(ACOS(MIN(1,MAX(-1,COS(RADIANS(B123-B122))-SIN(RADIANS(B122))*SIN(RADIANS(B123))*(1-COS(RADIANS(C123-C122)))))))*TAN((ACOS(MIN(1,MAX(-1,COS(RADIANS(B123-B122))-SIN(RADIANS(B122))*SIN(RADIANS(B123))*(1-COS(RADIANS(C123-C122)))))))/2)))</f>
        <v>2210.60524134</v>
      </c>
      <c r="G123" s="24" t="n">
        <f aca="false">IF(H123=0,0,DEGREES(ACOS(MIN(1,MAX(-1,COS(RADIANS(B123-B122))-SIN(RADIANS(B122))*SIN(RADIANS(B123))*(1-COS(RADIANS(C123-C122)))))))*100/H123)</f>
        <v>0.172153192115891</v>
      </c>
      <c r="H123" s="24" t="n">
        <f aca="false">A123-A122</f>
        <v>93</v>
      </c>
      <c r="I123" s="24" t="n">
        <f aca="false">J123*COS(RADIANS(K123-Well_Data!$B$68))</f>
        <v>3766.40032480762</v>
      </c>
      <c r="J123" s="24" t="n">
        <f aca="false">SQRT(E123^2+F123^2)</f>
        <v>3766.40244000697</v>
      </c>
      <c r="K123" s="24" t="n">
        <f aca="false">IF(J123=0,0,MOD(DEGREES(ATAN2(E123,F123)),360))</f>
        <v>144.060722541657</v>
      </c>
    </row>
    <row r="124" customFormat="false" ht="15" hidden="false" customHeight="true" outlineLevel="0" collapsed="false">
      <c r="A124" s="20" t="n">
        <v>9352</v>
      </c>
      <c r="B124" s="20" t="n">
        <v>34.9</v>
      </c>
      <c r="C124" s="20" t="n">
        <v>144.81</v>
      </c>
      <c r="D124" s="24" t="n">
        <f aca="false">D123+(A124-A123)/2*(COS(RADIANS(B123))+COS(RADIANS(B124)))*(IF(ACOS(MIN(1,MAX(-1,COS(RADIANS(B124-B123))-SIN(RADIANS(B123))*SIN(RADIANS(B124))*(1-COS(RADIANS(C124-C123))))))=0,1,2/(ACOS(MIN(1,MAX(-1,COS(RADIANS(B124-B123))-SIN(RADIANS(B123))*SIN(RADIANS(B124))*(1-COS(RADIANS(C124-C123)))))))*TAN((ACOS(MIN(1,MAX(-1,COS(RADIANS(B124-B123))-SIN(RADIANS(B123))*SIN(RADIANS(B124))*(1-COS(RADIANS(C124-C123)))))))/2)))</f>
        <v>8196.13198250131</v>
      </c>
      <c r="E124" s="24" t="n">
        <f aca="false">E123+(A124-A123)/2*(SIN(RADIANS(B123))*COS(RADIANS(C123))+SIN(RADIANS(B124))*COS(RADIANS(C124)))*(IF(ACOS(MIN(1,MAX(-1,COS(RADIANS(B124-B123))-SIN(RADIANS(B123))*SIN(RADIANS(B124))*(1-COS(RADIANS(C124-C123))))))=0,1,2/(ACOS(MIN(1,MAX(-1,COS(RADIANS(B124-B123))-SIN(RADIANS(B123))*SIN(RADIANS(B124))*(1-COS(RADIANS(C124-C123)))))))*TAN((ACOS(MIN(1,MAX(-1,COS(RADIANS(B124-B123))-SIN(RADIANS(B123))*SIN(RADIANS(B124))*(1-COS(RADIANS(C124-C123)))))))/2)))</f>
        <v>-3092.88092938289</v>
      </c>
      <c r="F124" s="24" t="n">
        <f aca="false">F123+(A124-A123)/2*(SIN(RADIANS(B123))*SIN(RADIANS(C123))+SIN(RADIANS(B124))*SIN(RADIANS(C124)))*(IF(ACOS(MIN(1,MAX(-1,COS(RADIANS(B124-B123))-SIN(RADIANS(B123))*SIN(RADIANS(B124))*(1-COS(RADIANS(C124-C123))))))=0,1,2/(ACOS(MIN(1,MAX(-1,COS(RADIANS(B124-B123))-SIN(RADIANS(B123))*SIN(RADIANS(B124))*(1-COS(RADIANS(C124-C123)))))))*TAN((ACOS(MIN(1,MAX(-1,COS(RADIANS(B124-B123))-SIN(RADIANS(B123))*SIN(RADIANS(B124))*(1-COS(RADIANS(C124-C123)))))))/2)))</f>
        <v>2241.26918037847</v>
      </c>
      <c r="G124" s="24" t="n">
        <f aca="false">IF(H124=0,0,DEGREES(ACOS(MIN(1,MAX(-1,COS(RADIANS(B124-B123))-SIN(RADIANS(B123))*SIN(RADIANS(B124))*(1-COS(RADIANS(C124-C123)))))))*100/H124)</f>
        <v>0.0495468795020104</v>
      </c>
      <c r="H124" s="24" t="n">
        <f aca="false">A124-A123</f>
        <v>93</v>
      </c>
      <c r="I124" s="24" t="n">
        <f aca="false">J124*COS(RADIANS(K124-Well_Data!$B$68))</f>
        <v>3819.57820409305</v>
      </c>
      <c r="J124" s="24" t="n">
        <f aca="false">SQRT(E124^2+F124^2)</f>
        <v>3819.58112654448</v>
      </c>
      <c r="K124" s="24" t="n">
        <f aca="false">IF(J124=0,0,MOD(DEGREES(ATAN2(E124,F124)),360))</f>
        <v>144.070876691989</v>
      </c>
    </row>
    <row r="125" customFormat="false" ht="15" hidden="false" customHeight="true" outlineLevel="0" collapsed="false">
      <c r="A125" s="20" t="n">
        <v>9445</v>
      </c>
      <c r="B125" s="20" t="n">
        <v>34.63</v>
      </c>
      <c r="C125" s="20" t="n">
        <v>145.19</v>
      </c>
      <c r="D125" s="24" t="n">
        <f aca="false">D124+(A125-A124)/2*(COS(RADIANS(B124))+COS(RADIANS(B125)))*(IF(ACOS(MIN(1,MAX(-1,COS(RADIANS(B125-B124))-SIN(RADIANS(B124))*SIN(RADIANS(B125))*(1-COS(RADIANS(C125-C124))))))=0,1,2/(ACOS(MIN(1,MAX(-1,COS(RADIANS(B125-B124))-SIN(RADIANS(B124))*SIN(RADIANS(B125))*(1-COS(RADIANS(C125-C124)))))))*TAN((ACOS(MIN(1,MAX(-1,COS(RADIANS(B125-B124))-SIN(RADIANS(B124))*SIN(RADIANS(B125))*(1-COS(RADIANS(C125-C124)))))))/2)))</f>
        <v>8272.53128756792</v>
      </c>
      <c r="E125" s="24" t="n">
        <f aca="false">E124+(A125-A124)/2*(SIN(RADIANS(B124))*COS(RADIANS(C124))+SIN(RADIANS(B125))*COS(RADIANS(C125)))*(IF(ACOS(MIN(1,MAX(-1,COS(RADIANS(B125-B124))-SIN(RADIANS(B124))*SIN(RADIANS(B125))*(1-COS(RADIANS(C125-C124))))))=0,1,2/(ACOS(MIN(1,MAX(-1,COS(RADIANS(B125-B124))-SIN(RADIANS(B124))*SIN(RADIANS(B125))*(1-COS(RADIANS(C125-C124)))))))*TAN((ACOS(MIN(1,MAX(-1,COS(RADIANS(B125-B124))-SIN(RADIANS(B124))*SIN(RADIANS(B125))*(1-COS(RADIANS(C125-C124)))))))/2)))</f>
        <v>-3136.31974854652</v>
      </c>
      <c r="F125" s="24" t="n">
        <f aca="false">F124+(A125-A124)/2*(SIN(RADIANS(B124))*SIN(RADIANS(C124))+SIN(RADIANS(B125))*SIN(RADIANS(C125)))*(IF(ACOS(MIN(1,MAX(-1,COS(RADIANS(B125-B124))-SIN(RADIANS(B124))*SIN(RADIANS(B125))*(1-COS(RADIANS(C125-C124))))))=0,1,2/(ACOS(MIN(1,MAX(-1,COS(RADIANS(B125-B124))-SIN(RADIANS(B124))*SIN(RADIANS(B125))*(1-COS(RADIANS(C125-C124)))))))*TAN((ACOS(MIN(1,MAX(-1,COS(RADIANS(B125-B124))-SIN(RADIANS(B124))*SIN(RADIANS(B125))*(1-COS(RADIANS(C125-C124)))))))/2)))</f>
        <v>2271.68609773837</v>
      </c>
      <c r="G125" s="24" t="n">
        <f aca="false">IF(H125=0,0,DEGREES(ACOS(MIN(1,MAX(-1,COS(RADIANS(B125-B124))-SIN(RADIANS(B124))*SIN(RADIANS(B125))*(1-COS(RADIANS(C125-C124)))))))*100/H125)</f>
        <v>0.372250697674355</v>
      </c>
      <c r="H125" s="24" t="n">
        <f aca="false">A125-A124</f>
        <v>93</v>
      </c>
      <c r="I125" s="24" t="n">
        <f aca="false">J125*COS(RADIANS(K125-Well_Data!$B$68))</f>
        <v>3872.59956245635</v>
      </c>
      <c r="J125" s="24" t="n">
        <f aca="false">SQRT(E125^2+F125^2)</f>
        <v>3872.60368379992</v>
      </c>
      <c r="K125" s="24" t="n">
        <f aca="false">IF(J125=0,0,MOD(DEGREES(ATAN2(E125,F125)),360))</f>
        <v>144.083590236079</v>
      </c>
    </row>
    <row r="126" customFormat="false" ht="15" hidden="false" customHeight="true" outlineLevel="0" collapsed="false">
      <c r="A126" s="20" t="n">
        <v>9538</v>
      </c>
      <c r="B126" s="20" t="n">
        <v>34.47</v>
      </c>
      <c r="C126" s="20" t="n">
        <v>144.9</v>
      </c>
      <c r="D126" s="24" t="n">
        <f aca="false">D125+(A126-A125)/2*(COS(RADIANS(B125))+COS(RADIANS(B126)))*(IF(ACOS(MIN(1,MAX(-1,COS(RADIANS(B126-B125))-SIN(RADIANS(B125))*SIN(RADIANS(B126))*(1-COS(RADIANS(C126-C125))))))=0,1,2/(ACOS(MIN(1,MAX(-1,COS(RADIANS(B126-B125))-SIN(RADIANS(B125))*SIN(RADIANS(B126))*(1-COS(RADIANS(C126-C125)))))))*TAN((ACOS(MIN(1,MAX(-1,COS(RADIANS(B126-B125))-SIN(RADIANS(B125))*SIN(RADIANS(B126))*(1-COS(RADIANS(C126-C125)))))))/2)))</f>
        <v>8349.12905334802</v>
      </c>
      <c r="E126" s="24" t="n">
        <f aca="false">E125+(A126-A125)/2*(SIN(RADIANS(B125))*COS(RADIANS(C125))+SIN(RADIANS(B126))*COS(RADIANS(C126)))*(IF(ACOS(MIN(1,MAX(-1,COS(RADIANS(B126-B125))-SIN(RADIANS(B125))*SIN(RADIANS(B126))*(1-COS(RADIANS(C126-C125))))))=0,1,2/(ACOS(MIN(1,MAX(-1,COS(RADIANS(B126-B125))-SIN(RADIANS(B125))*SIN(RADIANS(B126))*(1-COS(RADIANS(C126-C125)))))))*TAN((ACOS(MIN(1,MAX(-1,COS(RADIANS(B126-B125))-SIN(RADIANS(B125))*SIN(RADIANS(B126))*(1-COS(RADIANS(C126-C125)))))))/2)))</f>
        <v>-3179.54777216873</v>
      </c>
      <c r="F126" s="24" t="n">
        <f aca="false">F125+(A126-A125)/2*(SIN(RADIANS(B125))*SIN(RADIANS(C125))+SIN(RADIANS(B126))*SIN(RADIANS(C126)))*(IF(ACOS(MIN(1,MAX(-1,COS(RADIANS(B126-B125))-SIN(RADIANS(B125))*SIN(RADIANS(B126))*(1-COS(RADIANS(C126-C125))))))=0,1,2/(ACOS(MIN(1,MAX(-1,COS(RADIANS(B126-B125))-SIN(RADIANS(B125))*SIN(RADIANS(B126))*(1-COS(RADIANS(C126-C125)))))))*TAN((ACOS(MIN(1,MAX(-1,COS(RADIANS(B126-B125))-SIN(RADIANS(B125))*SIN(RADIANS(B126))*(1-COS(RADIANS(C126-C125)))))))/2)))</f>
        <v>2301.90378613399</v>
      </c>
      <c r="G126" s="24" t="n">
        <f aca="false">IF(H126=0,0,DEGREES(ACOS(MIN(1,MAX(-1,COS(RADIANS(B126-B125))-SIN(RADIANS(B125))*SIN(RADIANS(B126))*(1-COS(RADIANS(C126-C125)))))))*100/H126)</f>
        <v>0.246724405580835</v>
      </c>
      <c r="H126" s="24" t="n">
        <f aca="false">A126-A125</f>
        <v>93</v>
      </c>
      <c r="I126" s="24" t="n">
        <f aca="false">J126*COS(RADIANS(K126-Well_Data!$B$68))</f>
        <v>3925.33327979727</v>
      </c>
      <c r="J126" s="24" t="n">
        <f aca="false">SQRT(E126^2+F126^2)</f>
        <v>3925.3388485736</v>
      </c>
      <c r="K126" s="24" t="n">
        <f aca="false">IF(J126=0,0,MOD(DEGREES(ATAN2(E126,F126)),360))</f>
        <v>144.096511483815</v>
      </c>
    </row>
    <row r="127" customFormat="false" ht="15" hidden="false" customHeight="true" outlineLevel="0" collapsed="false">
      <c r="A127" s="20" t="n">
        <v>9631</v>
      </c>
      <c r="B127" s="20" t="n">
        <v>34.46</v>
      </c>
      <c r="C127" s="20" t="n">
        <v>145.02</v>
      </c>
      <c r="D127" s="24" t="n">
        <f aca="false">D126+(A127-A126)/2*(COS(RADIANS(B126))+COS(RADIANS(B127)))*(IF(ACOS(MIN(1,MAX(-1,COS(RADIANS(B127-B126))-SIN(RADIANS(B126))*SIN(RADIANS(B127))*(1-COS(RADIANS(C127-C126))))))=0,1,2/(ACOS(MIN(1,MAX(-1,COS(RADIANS(B127-B126))-SIN(RADIANS(B126))*SIN(RADIANS(B127))*(1-COS(RADIANS(C127-C126)))))))*TAN((ACOS(MIN(1,MAX(-1,COS(RADIANS(B127-B126))-SIN(RADIANS(B126))*SIN(RADIANS(B127))*(1-COS(RADIANS(C127-C126)))))))/2)))</f>
        <v>8425.80496126933</v>
      </c>
      <c r="E127" s="24" t="n">
        <f aca="false">E126+(A127-A126)/2*(SIN(RADIANS(B126))*COS(RADIANS(C126))+SIN(RADIANS(B127))*COS(RADIANS(C127)))*(IF(ACOS(MIN(1,MAX(-1,COS(RADIANS(B127-B126))-SIN(RADIANS(B126))*SIN(RADIANS(B127))*(1-COS(RADIANS(C127-C126))))))=0,1,2/(ACOS(MIN(1,MAX(-1,COS(RADIANS(B127-B126))-SIN(RADIANS(B126))*SIN(RADIANS(B127))*(1-COS(RADIANS(C127-C126)))))))*TAN((ACOS(MIN(1,MAX(-1,COS(RADIANS(B127-B126))-SIN(RADIANS(B126))*SIN(RADIANS(B127))*(1-COS(RADIANS(C127-C126)))))))/2)))</f>
        <v>-3222.63777767023</v>
      </c>
      <c r="F127" s="24" t="n">
        <f aca="false">F126+(A127-A126)/2*(SIN(RADIANS(B126))*SIN(RADIANS(C126))+SIN(RADIANS(B127))*SIN(RADIANS(C127)))*(IF(ACOS(MIN(1,MAX(-1,COS(RADIANS(B127-B126))-SIN(RADIANS(B126))*SIN(RADIANS(B127))*(1-COS(RADIANS(C127-C126))))))=0,1,2/(ACOS(MIN(1,MAX(-1,COS(RADIANS(B127-B126))-SIN(RADIANS(B126))*SIN(RADIANS(B127))*(1-COS(RADIANS(C127-C126)))))))*TAN((ACOS(MIN(1,MAX(-1,COS(RADIANS(B127-B126))-SIN(RADIANS(B126))*SIN(RADIANS(B127))*(1-COS(RADIANS(C127-C126)))))))/2)))</f>
        <v>2332.12059496437</v>
      </c>
      <c r="G127" s="24" t="n">
        <f aca="false">IF(H127=0,0,DEGREES(ACOS(MIN(1,MAX(-1,COS(RADIANS(B127-B126))-SIN(RADIANS(B126))*SIN(RADIANS(B127))*(1-COS(RADIANS(C127-C126)))))))*100/H127)</f>
        <v>0.0738071538534761</v>
      </c>
      <c r="H127" s="24" t="n">
        <f aca="false">A127-A126</f>
        <v>93</v>
      </c>
      <c r="I127" s="24" t="n">
        <f aca="false">J127*COS(RADIANS(K127-Well_Data!$B$68))</f>
        <v>3977.95482113753</v>
      </c>
      <c r="J127" s="24" t="n">
        <f aca="false">SQRT(E127^2+F127^2)</f>
        <v>3977.96187959667</v>
      </c>
      <c r="K127" s="24" t="n">
        <f aca="false">IF(J127=0,0,MOD(DEGREES(ATAN2(E127,F127)),360))</f>
        <v>144.107935010568</v>
      </c>
    </row>
    <row r="128" customFormat="false" ht="15" hidden="false" customHeight="true" outlineLevel="0" collapsed="false">
      <c r="A128" s="20" t="n">
        <v>9724</v>
      </c>
      <c r="B128" s="20" t="n">
        <v>35.01</v>
      </c>
      <c r="C128" s="20" t="n">
        <v>145.26</v>
      </c>
      <c r="D128" s="24" t="n">
        <f aca="false">D127+(A128-A127)/2*(COS(RADIANS(B127))+COS(RADIANS(B128)))*(IF(ACOS(MIN(1,MAX(-1,COS(RADIANS(B128-B127))-SIN(RADIANS(B127))*SIN(RADIANS(B128))*(1-COS(RADIANS(C128-C127))))))=0,1,2/(ACOS(MIN(1,MAX(-1,COS(RADIANS(B128-B127))-SIN(RADIANS(B127))*SIN(RADIANS(B128))*(1-COS(RADIANS(C128-C127)))))))*TAN((ACOS(MIN(1,MAX(-1,COS(RADIANS(B128-B127))-SIN(RADIANS(B127))*SIN(RADIANS(B128))*(1-COS(RADIANS(C128-C127)))))))/2)))</f>
        <v>8502.23174462611</v>
      </c>
      <c r="E128" s="24" t="n">
        <f aca="false">E127+(A128-A127)/2*(SIN(RADIANS(B127))*COS(RADIANS(C127))+SIN(RADIANS(B128))*COS(RADIANS(C128)))*(IF(ACOS(MIN(1,MAX(-1,COS(RADIANS(B128-B127))-SIN(RADIANS(B127))*SIN(RADIANS(B128))*(1-COS(RADIANS(C128-C127))))))=0,1,2/(ACOS(MIN(1,MAX(-1,COS(RADIANS(B128-B127))-SIN(RADIANS(B127))*SIN(RADIANS(B128))*(1-COS(RADIANS(C128-C127)))))))*TAN((ACOS(MIN(1,MAX(-1,COS(RADIANS(B128-B127))-SIN(RADIANS(B127))*SIN(RADIANS(B128))*(1-COS(RADIANS(C128-C127)))))))/2)))</f>
        <v>-3266.11872582558</v>
      </c>
      <c r="F128" s="24" t="n">
        <f aca="false">F127+(A128-A127)/2*(SIN(RADIANS(B127))*SIN(RADIANS(C127))+SIN(RADIANS(B128))*SIN(RADIANS(C128)))*(IF(ACOS(MIN(1,MAX(-1,COS(RADIANS(B128-B127))-SIN(RADIANS(B127))*SIN(RADIANS(B128))*(1-COS(RADIANS(C128-C127))))))=0,1,2/(ACOS(MIN(1,MAX(-1,COS(RADIANS(B128-B127))-SIN(RADIANS(B127))*SIN(RADIANS(B128))*(1-COS(RADIANS(C128-C127)))))))*TAN((ACOS(MIN(1,MAX(-1,COS(RADIANS(B128-B127))-SIN(RADIANS(B127))*SIN(RADIANS(B128))*(1-COS(RADIANS(C128-C127)))))))/2)))</f>
        <v>2362.40728202824</v>
      </c>
      <c r="G128" s="24" t="n">
        <f aca="false">IF(H128=0,0,DEGREES(ACOS(MIN(1,MAX(-1,COS(RADIANS(B128-B127))-SIN(RADIANS(B127))*SIN(RADIANS(B128))*(1-COS(RADIANS(C128-C127)))))))*100/H128)</f>
        <v>0.609402230590473</v>
      </c>
      <c r="H128" s="24" t="n">
        <f aca="false">A128-A127</f>
        <v>93</v>
      </c>
      <c r="I128" s="24" t="n">
        <f aca="false">J128*COS(RADIANS(K128-Well_Data!$B$68))</f>
        <v>4030.93371512369</v>
      </c>
      <c r="J128" s="24" t="n">
        <f aca="false">SQRT(E128^2+F128^2)</f>
        <v>4030.94278021514</v>
      </c>
      <c r="K128" s="24" t="n">
        <f aca="false">IF(J128=0,0,MOD(DEGREES(ATAN2(E128,F128)),360))</f>
        <v>144.121512369538</v>
      </c>
    </row>
    <row r="129" customFormat="false" ht="15" hidden="false" customHeight="true" outlineLevel="0" collapsed="false">
      <c r="A129" s="20" t="n">
        <v>9817</v>
      </c>
      <c r="B129" s="20" t="n">
        <v>34.8</v>
      </c>
      <c r="C129" s="20" t="n">
        <v>144.94</v>
      </c>
      <c r="D129" s="24" t="n">
        <f aca="false">D128+(A129-A128)/2*(COS(RADIANS(B128))+COS(RADIANS(B129)))*(IF(ACOS(MIN(1,MAX(-1,COS(RADIANS(B129-B128))-SIN(RADIANS(B128))*SIN(RADIANS(B129))*(1-COS(RADIANS(C129-C128))))))=0,1,2/(ACOS(MIN(1,MAX(-1,COS(RADIANS(B129-B128))-SIN(RADIANS(B128))*SIN(RADIANS(B129))*(1-COS(RADIANS(C129-C128)))))))*TAN((ACOS(MIN(1,MAX(-1,COS(RADIANS(B129-B128))-SIN(RADIANS(B128))*SIN(RADIANS(B129))*(1-COS(RADIANS(C129-C128)))))))/2)))</f>
        <v>8578.50124760538</v>
      </c>
      <c r="E129" s="24" t="n">
        <f aca="false">E128+(A129-A128)/2*(SIN(RADIANS(B128))*COS(RADIANS(C128))+SIN(RADIANS(B129))*COS(RADIANS(C129)))*(IF(ACOS(MIN(1,MAX(-1,COS(RADIANS(B129-B128))-SIN(RADIANS(B128))*SIN(RADIANS(B129))*(1-COS(RADIANS(C129-C128))))))=0,1,2/(ACOS(MIN(1,MAX(-1,COS(RADIANS(B129-B128))-SIN(RADIANS(B128))*SIN(RADIANS(B129))*(1-COS(RADIANS(C129-C128)))))))*TAN((ACOS(MIN(1,MAX(-1,COS(RADIANS(B129-B128))-SIN(RADIANS(B128))*SIN(RADIANS(B129))*(1-COS(RADIANS(C129-C128)))))))/2)))</f>
        <v>-3309.76417614741</v>
      </c>
      <c r="F129" s="24" t="n">
        <f aca="false">F128+(A129-A128)/2*(SIN(RADIANS(B128))*SIN(RADIANS(C128))+SIN(RADIANS(B129))*SIN(RADIANS(C129)))*(IF(ACOS(MIN(1,MAX(-1,COS(RADIANS(B129-B128))-SIN(RADIANS(B128))*SIN(RADIANS(B129))*(1-COS(RADIANS(C129-C128))))))=0,1,2/(ACOS(MIN(1,MAX(-1,COS(RADIANS(B129-B128))-SIN(RADIANS(B128))*SIN(RADIANS(B129))*(1-COS(RADIANS(C129-C128)))))))*TAN((ACOS(MIN(1,MAX(-1,COS(RADIANS(B129-B128))-SIN(RADIANS(B128))*SIN(RADIANS(B129))*(1-COS(RADIANS(C129-C128)))))))/2)))</f>
        <v>2392.85429399789</v>
      </c>
      <c r="G129" s="24" t="n">
        <f aca="false">IF(H129=0,0,DEGREES(ACOS(MIN(1,MAX(-1,COS(RADIANS(B129-B128))-SIN(RADIANS(B128))*SIN(RADIANS(B129))*(1-COS(RADIANS(C129-C128)))))))*100/H129)</f>
        <v>0.299590794038554</v>
      </c>
      <c r="H129" s="24" t="n">
        <f aca="false">A129-A128</f>
        <v>93</v>
      </c>
      <c r="I129" s="24" t="n">
        <f aca="false">J129*COS(RADIANS(K129-Well_Data!$B$68))</f>
        <v>4084.13993077333</v>
      </c>
      <c r="J129" s="24" t="n">
        <f aca="false">SQRT(E129^2+F129^2)</f>
        <v>4084.15114485408</v>
      </c>
      <c r="K129" s="24" t="n">
        <f aca="false">IF(J129=0,0,MOD(DEGREES(ATAN2(E129,F129)),360))</f>
        <v>144.13426680857</v>
      </c>
    </row>
    <row r="130" customFormat="false" ht="15" hidden="false" customHeight="true" outlineLevel="0" collapsed="false">
      <c r="A130" s="20" t="n">
        <v>9910</v>
      </c>
      <c r="B130" s="20" t="n">
        <v>34.58</v>
      </c>
      <c r="C130" s="20" t="n">
        <v>144.96</v>
      </c>
      <c r="D130" s="24" t="n">
        <f aca="false">D129+(A130-A129)/2*(COS(RADIANS(B129))+COS(RADIANS(B130)))*(IF(ACOS(MIN(1,MAX(-1,COS(RADIANS(B130-B129))-SIN(RADIANS(B129))*SIN(RADIANS(B130))*(1-COS(RADIANS(C130-C129))))))=0,1,2/(ACOS(MIN(1,MAX(-1,COS(RADIANS(B130-B129))-SIN(RADIANS(B129))*SIN(RADIANS(B130))*(1-COS(RADIANS(C130-C129)))))))*TAN((ACOS(MIN(1,MAX(-1,COS(RADIANS(B130-B129))-SIN(RADIANS(B129))*SIN(RADIANS(B130))*(1-COS(RADIANS(C130-C129)))))))/2)))</f>
        <v>8654.96983582848</v>
      </c>
      <c r="E130" s="24" t="n">
        <f aca="false">E129+(A130-A129)/2*(SIN(RADIANS(B129))*COS(RADIANS(C129))+SIN(RADIANS(B130))*COS(RADIANS(C130)))*(IF(ACOS(MIN(1,MAX(-1,COS(RADIANS(B130-B129))-SIN(RADIANS(B129))*SIN(RADIANS(B130))*(1-COS(RADIANS(C130-C129))))))=0,1,2/(ACOS(MIN(1,MAX(-1,COS(RADIANS(B130-B129))-SIN(RADIANS(B129))*SIN(RADIANS(B130))*(1-COS(RADIANS(C130-C129)))))))*TAN((ACOS(MIN(1,MAX(-1,COS(RADIANS(B130-B129))-SIN(RADIANS(B129))*SIN(RADIANS(B130))*(1-COS(RADIANS(C130-C129)))))))/2)))</f>
        <v>-3353.09505554748</v>
      </c>
      <c r="F130" s="24" t="n">
        <f aca="false">F129+(A130-A129)/2*(SIN(RADIANS(B129))*SIN(RADIANS(C129))+SIN(RADIANS(B130))*SIN(RADIANS(C130)))*(IF(ACOS(MIN(1,MAX(-1,COS(RADIANS(B130-B129))-SIN(RADIANS(B129))*SIN(RADIANS(B130))*(1-COS(RADIANS(C130-C129))))))=0,1,2/(ACOS(MIN(1,MAX(-1,COS(RADIANS(B130-B129))-SIN(RADIANS(B129))*SIN(RADIANS(B130))*(1-COS(RADIANS(C130-C129)))))))*TAN((ACOS(MIN(1,MAX(-1,COS(RADIANS(B130-B129))-SIN(RADIANS(B129))*SIN(RADIANS(B130))*(1-COS(RADIANS(C130-C129)))))))/2)))</f>
        <v>2423.25132100343</v>
      </c>
      <c r="G130" s="24" t="n">
        <f aca="false">IF(H130=0,0,DEGREES(ACOS(MIN(1,MAX(-1,COS(RADIANS(B130-B129))-SIN(RADIANS(B129))*SIN(RADIANS(B130))*(1-COS(RADIANS(C130-C129)))))))*100/H130)</f>
        <v>0.236875558587616</v>
      </c>
      <c r="H130" s="24" t="n">
        <f aca="false">A130-A129</f>
        <v>93</v>
      </c>
      <c r="I130" s="24" t="n">
        <f aca="false">J130*COS(RADIANS(K130-Well_Data!$B$68))</f>
        <v>4137.06227277659</v>
      </c>
      <c r="J130" s="24" t="n">
        <f aca="false">SQRT(E130^2+F130^2)</f>
        <v>4137.07546659253</v>
      </c>
      <c r="K130" s="24" t="n">
        <f aca="false">IF(J130=0,0,MOD(DEGREES(ATAN2(E130,F130)),360))</f>
        <v>144.144702566742</v>
      </c>
    </row>
    <row r="131" customFormat="false" ht="15" hidden="false" customHeight="true" outlineLevel="0" collapsed="false">
      <c r="A131" s="20" t="n">
        <v>10003</v>
      </c>
      <c r="B131" s="20" t="n">
        <v>34.86</v>
      </c>
      <c r="C131" s="20" t="n">
        <v>145.36</v>
      </c>
      <c r="D131" s="24" t="n">
        <f aca="false">D130+(A131-A130)/2*(COS(RADIANS(B130))+COS(RADIANS(B131)))*(IF(ACOS(MIN(1,MAX(-1,COS(RADIANS(B131-B130))-SIN(RADIANS(B130))*SIN(RADIANS(B131))*(1-COS(RADIANS(C131-C130))))))=0,1,2/(ACOS(MIN(1,MAX(-1,COS(RADIANS(B131-B130))-SIN(RADIANS(B130))*SIN(RADIANS(B131))*(1-COS(RADIANS(C131-C130)))))))*TAN((ACOS(MIN(1,MAX(-1,COS(RADIANS(B131-B130))-SIN(RADIANS(B130))*SIN(RADIANS(B131))*(1-COS(RADIANS(C131-C130)))))))/2)))</f>
        <v>8731.41077104652</v>
      </c>
      <c r="E131" s="24" t="n">
        <f aca="false">E130+(A131-A130)/2*(SIN(RADIANS(B130))*COS(RADIANS(C130))+SIN(RADIANS(B131))*COS(RADIANS(C131)))*(IF(ACOS(MIN(1,MAX(-1,COS(RADIANS(B131-B130))-SIN(RADIANS(B130))*SIN(RADIANS(B131))*(1-COS(RADIANS(C131-C130))))))=0,1,2/(ACOS(MIN(1,MAX(-1,COS(RADIANS(B131-B130))-SIN(RADIANS(B130))*SIN(RADIANS(B131))*(1-COS(RADIANS(C131-C130)))))))*TAN((ACOS(MIN(1,MAX(-1,COS(RADIANS(B131-B130))-SIN(RADIANS(B130))*SIN(RADIANS(B131))*(1-COS(RADIANS(C131-C130)))))))/2)))</f>
        <v>-3396.57007402774</v>
      </c>
      <c r="F131" s="24" t="n">
        <f aca="false">F130+(A131-A130)/2*(SIN(RADIANS(B130))*SIN(RADIANS(C130))+SIN(RADIANS(B131))*SIN(RADIANS(C131)))*(IF(ACOS(MIN(1,MAX(-1,COS(RADIANS(B131-B130))-SIN(RADIANS(B130))*SIN(RADIANS(B131))*(1-COS(RADIANS(C131-C130))))))=0,1,2/(ACOS(MIN(1,MAX(-1,COS(RADIANS(B131-B130))-SIN(RADIANS(B130))*SIN(RADIANS(B131))*(1-COS(RADIANS(C131-C130)))))))*TAN((ACOS(MIN(1,MAX(-1,COS(RADIANS(B131-B130))-SIN(RADIANS(B130))*SIN(RADIANS(B131))*(1-COS(RADIANS(C131-C130)))))))/2)))</f>
        <v>2453.51148594881</v>
      </c>
      <c r="G131" s="24" t="n">
        <f aca="false">IF(H131=0,0,DEGREES(ACOS(MIN(1,MAX(-1,COS(RADIANS(B131-B130))-SIN(RADIANS(B130))*SIN(RADIANS(B131))*(1-COS(RADIANS(C131-C130)))))))*100/H131)</f>
        <v>0.388146818503444</v>
      </c>
      <c r="H131" s="24" t="n">
        <f aca="false">A131-A130</f>
        <v>93</v>
      </c>
      <c r="I131" s="24" t="n">
        <f aca="false">J131*COS(RADIANS(K131-Well_Data!$B$68))</f>
        <v>4190.02078024472</v>
      </c>
      <c r="J131" s="24" t="n">
        <f aca="false">SQRT(E131^2+F131^2)</f>
        <v>4190.03662030102</v>
      </c>
      <c r="K131" s="24" t="n">
        <f aca="false">IF(J131=0,0,MOD(DEGREES(ATAN2(E131,F131)),360))</f>
        <v>144.157545940854</v>
      </c>
    </row>
    <row r="132" customFormat="false" ht="15" hidden="false" customHeight="true" outlineLevel="0" collapsed="false">
      <c r="A132" s="20" t="n">
        <v>10096</v>
      </c>
      <c r="B132" s="20" t="n">
        <v>34.79</v>
      </c>
      <c r="C132" s="20" t="n">
        <v>145.04</v>
      </c>
      <c r="D132" s="24" t="n">
        <f aca="false">D131+(A132-A131)/2*(COS(RADIANS(B131))+COS(RADIANS(B132)))*(IF(ACOS(MIN(1,MAX(-1,COS(RADIANS(B132-B131))-SIN(RADIANS(B131))*SIN(RADIANS(B132))*(1-COS(RADIANS(C132-C131))))))=0,1,2/(ACOS(MIN(1,MAX(-1,COS(RADIANS(B132-B131))-SIN(RADIANS(B131))*SIN(RADIANS(B132))*(1-COS(RADIANS(C132-C131)))))))*TAN((ACOS(MIN(1,MAX(-1,COS(RADIANS(B132-B131))-SIN(RADIANS(B131))*SIN(RADIANS(B132))*(1-COS(RADIANS(C132-C131)))))))/2)))</f>
        <v>8807.75454126573</v>
      </c>
      <c r="E132" s="24" t="n">
        <f aca="false">E131+(A132-A131)/2*(SIN(RADIANS(B131))*COS(RADIANS(C131))+SIN(RADIANS(B132))*COS(RADIANS(C132)))*(IF(ACOS(MIN(1,MAX(-1,COS(RADIANS(B132-B131))-SIN(RADIANS(B131))*SIN(RADIANS(B132))*(1-COS(RADIANS(C132-C131))))))=0,1,2/(ACOS(MIN(1,MAX(-1,COS(RADIANS(B132-B131))-SIN(RADIANS(B131))*SIN(RADIANS(B132))*(1-COS(RADIANS(C132-C131)))))))*TAN((ACOS(MIN(1,MAX(-1,COS(RADIANS(B132-B131))-SIN(RADIANS(B131))*SIN(RADIANS(B132))*(1-COS(RADIANS(C132-C131)))))))/2)))</f>
        <v>-3440.18098271689</v>
      </c>
      <c r="F132" s="24" t="n">
        <f aca="false">F131+(A132-A131)/2*(SIN(RADIANS(B131))*SIN(RADIANS(C131))+SIN(RADIANS(B132))*SIN(RADIANS(C132)))*(IF(ACOS(MIN(1,MAX(-1,COS(RADIANS(B132-B131))-SIN(RADIANS(B131))*SIN(RADIANS(B132))*(1-COS(RADIANS(C132-C131))))))=0,1,2/(ACOS(MIN(1,MAX(-1,COS(RADIANS(B132-B131))-SIN(RADIANS(B131))*SIN(RADIANS(B132))*(1-COS(RADIANS(C132-C131)))))))*TAN((ACOS(MIN(1,MAX(-1,COS(RADIANS(B132-B131))-SIN(RADIANS(B131))*SIN(RADIANS(B132))*(1-COS(RADIANS(C132-C131)))))))/2)))</f>
        <v>2483.82169848955</v>
      </c>
      <c r="G132" s="24" t="n">
        <f aca="false">IF(H132=0,0,DEGREES(ACOS(MIN(1,MAX(-1,COS(RADIANS(B132-B131))-SIN(RADIANS(B131))*SIN(RADIANS(B132))*(1-COS(RADIANS(C132-C131)))))))*100/H132)</f>
        <v>0.210420265944096</v>
      </c>
      <c r="H132" s="24" t="n">
        <f aca="false">A132-A131</f>
        <v>93</v>
      </c>
      <c r="I132" s="24" t="n">
        <f aca="false">J132*COS(RADIANS(K132-Well_Data!$B$68))</f>
        <v>4243.11864243967</v>
      </c>
      <c r="J132" s="24" t="n">
        <f aca="false">SQRT(E132^2+F132^2)</f>
        <v>4243.13745048808</v>
      </c>
      <c r="K132" s="24" t="n">
        <f aca="false">IF(J132=0,0,MOD(DEGREES(ATAN2(E132,F132)),360))</f>
        <v>144.170594925059</v>
      </c>
    </row>
    <row r="133" customFormat="false" ht="15" hidden="false" customHeight="true" outlineLevel="0" collapsed="false">
      <c r="A133" s="20" t="n">
        <v>10189</v>
      </c>
      <c r="B133" s="20" t="n">
        <v>34.56</v>
      </c>
      <c r="C133" s="20" t="n">
        <v>145.18</v>
      </c>
      <c r="D133" s="24" t="n">
        <f aca="false">D132+(A133-A132)/2*(COS(RADIANS(B132))+COS(RADIANS(B133)))*(IF(ACOS(MIN(1,MAX(-1,COS(RADIANS(B133-B132))-SIN(RADIANS(B132))*SIN(RADIANS(B133))*(1-COS(RADIANS(C133-C132))))))=0,1,2/(ACOS(MIN(1,MAX(-1,COS(RADIANS(B133-B132))-SIN(RADIANS(B132))*SIN(RADIANS(B133))*(1-COS(RADIANS(C133-C132)))))))*TAN((ACOS(MIN(1,MAX(-1,COS(RADIANS(B133-B132))-SIN(RADIANS(B132))*SIN(RADIANS(B133))*(1-COS(RADIANS(C133-C132)))))))/2)))</f>
        <v>8884.23699150639</v>
      </c>
      <c r="E133" s="24" t="n">
        <f aca="false">E132+(A133-A132)/2*(SIN(RADIANS(B132))*COS(RADIANS(C132))+SIN(RADIANS(B133))*COS(RADIANS(C133)))*(IF(ACOS(MIN(1,MAX(-1,COS(RADIANS(B133-B132))-SIN(RADIANS(B132))*SIN(RADIANS(B133))*(1-COS(RADIANS(C133-C132))))))=0,1,2/(ACOS(MIN(1,MAX(-1,COS(RADIANS(B133-B132))-SIN(RADIANS(B132))*SIN(RADIANS(B133))*(1-COS(RADIANS(C133-C132)))))))*TAN((ACOS(MIN(1,MAX(-1,COS(RADIANS(B133-B132))-SIN(RADIANS(B132))*SIN(RADIANS(B133))*(1-COS(RADIANS(C133-C132)))))))/2)))</f>
        <v>-3483.58003512631</v>
      </c>
      <c r="F133" s="24" t="n">
        <f aca="false">F132+(A133-A132)/2*(SIN(RADIANS(B132))*SIN(RADIANS(C132))+SIN(RADIANS(B133))*SIN(RADIANS(C133)))*(IF(ACOS(MIN(1,MAX(-1,COS(RADIANS(B133-B132))-SIN(RADIANS(B132))*SIN(RADIANS(B133))*(1-COS(RADIANS(C133-C132))))))=0,1,2/(ACOS(MIN(1,MAX(-1,COS(RADIANS(B133-B132))-SIN(RADIANS(B132))*SIN(RADIANS(B133))*(1-COS(RADIANS(C133-C132)))))))*TAN((ACOS(MIN(1,MAX(-1,COS(RADIANS(B133-B132))-SIN(RADIANS(B132))*SIN(RADIANS(B133))*(1-COS(RADIANS(C133-C132)))))))/2)))</f>
        <v>2514.08626602295</v>
      </c>
      <c r="G133" s="24" t="n">
        <f aca="false">IF(H133=0,0,DEGREES(ACOS(MIN(1,MAX(-1,COS(RADIANS(B133-B132))-SIN(RADIANS(B132))*SIN(RADIANS(B133))*(1-COS(RADIANS(C133-C132)))))))*100/H133)</f>
        <v>0.26172114536732</v>
      </c>
      <c r="H133" s="24" t="n">
        <f aca="false">A133-A132</f>
        <v>93</v>
      </c>
      <c r="I133" s="24" t="n">
        <f aca="false">J133*COS(RADIANS(K133-Well_Data!$B$68))</f>
        <v>4296.0182798418</v>
      </c>
      <c r="J133" s="24" t="n">
        <f aca="false">SQRT(E133^2+F133^2)</f>
        <v>4296.0399921481</v>
      </c>
      <c r="K133" s="24" t="n">
        <f aca="false">IF(J133=0,0,MOD(DEGREES(ATAN2(E133,F133)),360))</f>
        <v>144.182161516799</v>
      </c>
    </row>
    <row r="134" customFormat="false" ht="15" hidden="false" customHeight="true" outlineLevel="0" collapsed="false">
      <c r="A134" s="20" t="n">
        <v>10282</v>
      </c>
      <c r="B134" s="20" t="n">
        <v>34.46</v>
      </c>
      <c r="C134" s="20" t="n">
        <v>145.19</v>
      </c>
      <c r="D134" s="24" t="n">
        <f aca="false">D133+(A134-A133)/2*(COS(RADIANS(B133))+COS(RADIANS(B134)))*(IF(ACOS(MIN(1,MAX(-1,COS(RADIANS(B134-B133))-SIN(RADIANS(B133))*SIN(RADIANS(B134))*(1-COS(RADIANS(C134-C133))))))=0,1,2/(ACOS(MIN(1,MAX(-1,COS(RADIANS(B134-B133))-SIN(RADIANS(B133))*SIN(RADIANS(B134))*(1-COS(RADIANS(C134-C133)))))))*TAN((ACOS(MIN(1,MAX(-1,COS(RADIANS(B134-B133))-SIN(RADIANS(B133))*SIN(RADIANS(B134))*(1-COS(RADIANS(C134-C133)))))))/2)))</f>
        <v>8960.87152255864</v>
      </c>
      <c r="E134" s="24" t="n">
        <f aca="false">E133+(A134-A133)/2*(SIN(RADIANS(B133))*COS(RADIANS(C133))+SIN(RADIANS(B134))*COS(RADIANS(C134)))*(IF(ACOS(MIN(1,MAX(-1,COS(RADIANS(B134-B133))-SIN(RADIANS(B133))*SIN(RADIANS(B134))*(1-COS(RADIANS(C134-C133))))))=0,1,2/(ACOS(MIN(1,MAX(-1,COS(RADIANS(B134-B133))-SIN(RADIANS(B133))*SIN(RADIANS(B134))*(1-COS(RADIANS(C134-C133)))))))*TAN((ACOS(MIN(1,MAX(-1,COS(RADIANS(B134-B133))-SIN(RADIANS(B133))*SIN(RADIANS(B134))*(1-COS(RADIANS(C134-C133)))))))/2)))</f>
        <v>-3526.83781112602</v>
      </c>
      <c r="F134" s="24" t="n">
        <f aca="false">F133+(A134-A133)/2*(SIN(RADIANS(B133))*SIN(RADIANS(C133))+SIN(RADIANS(B134))*SIN(RADIANS(C134)))*(IF(ACOS(MIN(1,MAX(-1,COS(RADIANS(B134-B133))-SIN(RADIANS(B133))*SIN(RADIANS(B134))*(1-COS(RADIANS(C134-C133))))))=0,1,2/(ACOS(MIN(1,MAX(-1,COS(RADIANS(B134-B133))-SIN(RADIANS(B133))*SIN(RADIANS(B134))*(1-COS(RADIANS(C134-C133)))))))*TAN((ACOS(MIN(1,MAX(-1,COS(RADIANS(B134-B133))-SIN(RADIANS(B133))*SIN(RADIANS(B134))*(1-COS(RADIANS(C134-C133)))))))/2)))</f>
        <v>2544.1680090473</v>
      </c>
      <c r="G134" s="24" t="n">
        <f aca="false">IF(H134=0,0,DEGREES(ACOS(MIN(1,MAX(-1,COS(RADIANS(B134-B133))-SIN(RADIANS(B133))*SIN(RADIANS(B134))*(1-COS(RADIANS(C134-C133)))))))*100/H134)</f>
        <v>0.107699312483315</v>
      </c>
      <c r="H134" s="24" t="n">
        <f aca="false">A134-A133</f>
        <v>93</v>
      </c>
      <c r="I134" s="24" t="n">
        <f aca="false">J134*COS(RADIANS(K134-Well_Data!$B$68))</f>
        <v>4348.6961606774</v>
      </c>
      <c r="J134" s="24" t="n">
        <f aca="false">SQRT(E134^2+F134^2)</f>
        <v>4348.72116883204</v>
      </c>
      <c r="K134" s="24" t="n">
        <f aca="false">IF(J134=0,0,MOD(DEGREES(ATAN2(E134,F134)),360))</f>
        <v>144.194311220749</v>
      </c>
    </row>
    <row r="135" customFormat="false" ht="15" hidden="false" customHeight="true" outlineLevel="0" collapsed="false">
      <c r="A135" s="20" t="n">
        <v>10375</v>
      </c>
      <c r="B135" s="20" t="n">
        <v>34.78</v>
      </c>
      <c r="C135" s="20" t="n">
        <v>145.47</v>
      </c>
      <c r="D135" s="24" t="n">
        <f aca="false">D134+(A135-A134)/2*(COS(RADIANS(B134))+COS(RADIANS(B135)))*(IF(ACOS(MIN(1,MAX(-1,COS(RADIANS(B135-B134))-SIN(RADIANS(B134))*SIN(RADIANS(B135))*(1-COS(RADIANS(C135-C134))))))=0,1,2/(ACOS(MIN(1,MAX(-1,COS(RADIANS(B135-B134))-SIN(RADIANS(B134))*SIN(RADIANS(B135))*(1-COS(RADIANS(C135-C134)))))))*TAN((ACOS(MIN(1,MAX(-1,COS(RADIANS(B135-B134))-SIN(RADIANS(B134))*SIN(RADIANS(B135))*(1-COS(RADIANS(C135-C134)))))))/2)))</f>
        <v>9037.40471587864</v>
      </c>
      <c r="E135" s="24" t="n">
        <f aca="false">E134+(A135-A134)/2*(SIN(RADIANS(B134))*COS(RADIANS(C134))+SIN(RADIANS(B135))*COS(RADIANS(C135)))*(IF(ACOS(MIN(1,MAX(-1,COS(RADIANS(B135-B134))-SIN(RADIANS(B134))*SIN(RADIANS(B135))*(1-COS(RADIANS(C135-C134))))))=0,1,2/(ACOS(MIN(1,MAX(-1,COS(RADIANS(B135-B134))-SIN(RADIANS(B134))*SIN(RADIANS(B135))*(1-COS(RADIANS(C135-C134)))))))*TAN((ACOS(MIN(1,MAX(-1,COS(RADIANS(B135-B134))-SIN(RADIANS(B134))*SIN(RADIANS(B135))*(1-COS(RADIANS(C135-C134)))))))/2)))</f>
        <v>-3570.29264904937</v>
      </c>
      <c r="F135" s="24" t="n">
        <f aca="false">F134+(A135-A134)/2*(SIN(RADIANS(B134))*SIN(RADIANS(C134))+SIN(RADIANS(B135))*SIN(RADIANS(C135)))*(IF(ACOS(MIN(1,MAX(-1,COS(RADIANS(B135-B134))-SIN(RADIANS(B134))*SIN(RADIANS(B135))*(1-COS(RADIANS(C135-C134))))))=0,1,2/(ACOS(MIN(1,MAX(-1,COS(RADIANS(B135-B134))-SIN(RADIANS(B134))*SIN(RADIANS(B135))*(1-COS(RADIANS(C135-C134)))))))*TAN((ACOS(MIN(1,MAX(-1,COS(RADIANS(B135-B134))-SIN(RADIANS(B134))*SIN(RADIANS(B135))*(1-COS(RADIANS(C135-C134)))))))/2)))</f>
        <v>2574.22328052079</v>
      </c>
      <c r="G135" s="24" t="n">
        <f aca="false">IF(H135=0,0,DEGREES(ACOS(MIN(1,MAX(-1,COS(RADIANS(B135-B134))-SIN(RADIANS(B134))*SIN(RADIANS(B135))*(1-COS(RADIANS(C135-C134)))))))*100/H135)</f>
        <v>0.38425612388699</v>
      </c>
      <c r="H135" s="24" t="n">
        <f aca="false">A135-A134</f>
        <v>93</v>
      </c>
      <c r="I135" s="24" t="n">
        <f aca="false">J135*COS(RADIANS(K135-Well_Data!$B$68))</f>
        <v>4401.51790837097</v>
      </c>
      <c r="J135" s="24" t="n">
        <f aca="false">SQRT(E135^2+F135^2)</f>
        <v>4401.54689828829</v>
      </c>
      <c r="K135" s="24" t="n">
        <f aca="false">IF(J135=0,0,MOD(DEGREES(ATAN2(E135,F135)),360))</f>
        <v>144.207949887704</v>
      </c>
    </row>
    <row r="136" customFormat="false" ht="15" hidden="false" customHeight="true" outlineLevel="0" collapsed="false">
      <c r="A136" s="20" t="n">
        <v>10468</v>
      </c>
      <c r="B136" s="20" t="n">
        <v>34.47</v>
      </c>
      <c r="C136" s="20" t="n">
        <v>145.45</v>
      </c>
      <c r="D136" s="24" t="n">
        <f aca="false">D135+(A136-A135)/2*(COS(RADIANS(B135))+COS(RADIANS(B136)))*(IF(ACOS(MIN(1,MAX(-1,COS(RADIANS(B136-B135))-SIN(RADIANS(B135))*SIN(RADIANS(B136))*(1-COS(RADIANS(C136-C135))))))=0,1,2/(ACOS(MIN(1,MAX(-1,COS(RADIANS(B136-B135))-SIN(RADIANS(B135))*SIN(RADIANS(B136))*(1-COS(RADIANS(C136-C135)))))))*TAN((ACOS(MIN(1,MAX(-1,COS(RADIANS(B136-B135))-SIN(RADIANS(B135))*SIN(RADIANS(B136))*(1-COS(RADIANS(C136-C135)))))))/2)))</f>
        <v>9113.93325529441</v>
      </c>
      <c r="E136" s="24" t="n">
        <f aca="false">E135+(A136-A135)/2*(SIN(RADIANS(B135))*COS(RADIANS(C135))+SIN(RADIANS(B136))*COS(RADIANS(C136)))*(IF(ACOS(MIN(1,MAX(-1,COS(RADIANS(B136-B135))-SIN(RADIANS(B135))*SIN(RADIANS(B136))*(1-COS(RADIANS(C136-C135))))))=0,1,2/(ACOS(MIN(1,MAX(-1,COS(RADIANS(B136-B135))-SIN(RADIANS(B135))*SIN(RADIANS(B136))*(1-COS(RADIANS(C136-C135)))))))*TAN((ACOS(MIN(1,MAX(-1,COS(RADIANS(B136-B135))-SIN(RADIANS(B135))*SIN(RADIANS(B136))*(1-COS(RADIANS(C136-C135)))))))/2)))</f>
        <v>-3613.82089898281</v>
      </c>
      <c r="F136" s="24" t="n">
        <f aca="false">F135+(A136-A135)/2*(SIN(RADIANS(B135))*SIN(RADIANS(C135))+SIN(RADIANS(B136))*SIN(RADIANS(C136)))*(IF(ACOS(MIN(1,MAX(-1,COS(RADIANS(B136-B135))-SIN(RADIANS(B135))*SIN(RADIANS(B136))*(1-COS(RADIANS(C136-C135))))))=0,1,2/(ACOS(MIN(1,MAX(-1,COS(RADIANS(B136-B135))-SIN(RADIANS(B135))*SIN(RADIANS(B136))*(1-COS(RADIANS(C136-C135)))))))*TAN((ACOS(MIN(1,MAX(-1,COS(RADIANS(B136-B135))-SIN(RADIANS(B135))*SIN(RADIANS(B136))*(1-COS(RADIANS(C136-C135)))))))/2)))</f>
        <v>2604.1841380727</v>
      </c>
      <c r="G136" s="24" t="n">
        <f aca="false">IF(H136=0,0,DEGREES(ACOS(MIN(1,MAX(-1,COS(RADIANS(B136-B135))-SIN(RADIANS(B135))*SIN(RADIANS(B136))*(1-COS(RADIANS(C136-C135)))))))*100/H136)</f>
        <v>0.333557225353452</v>
      </c>
      <c r="H136" s="24" t="n">
        <f aca="false">A136-A135</f>
        <v>93</v>
      </c>
      <c r="I136" s="24" t="n">
        <f aca="false">J136*COS(RADIANS(K136-Well_Data!$B$68))</f>
        <v>4454.34355251756</v>
      </c>
      <c r="J136" s="24" t="n">
        <f aca="false">SQRT(E136^2+F136^2)</f>
        <v>4454.37723087239</v>
      </c>
      <c r="K136" s="24" t="n">
        <f aca="false">IF(J136=0,0,MOD(DEGREES(ATAN2(E136,F136)),360))</f>
        <v>144.222802387935</v>
      </c>
    </row>
    <row r="137" customFormat="false" ht="15" hidden="false" customHeight="true" outlineLevel="0" collapsed="false">
      <c r="A137" s="20" t="n">
        <v>10561</v>
      </c>
      <c r="B137" s="20" t="n">
        <v>34.79</v>
      </c>
      <c r="C137" s="20" t="n">
        <v>145.59</v>
      </c>
      <c r="D137" s="24" t="n">
        <f aca="false">D136+(A137-A136)/2*(COS(RADIANS(B136))+COS(RADIANS(B137)))*(IF(ACOS(MIN(1,MAX(-1,COS(RADIANS(B137-B136))-SIN(RADIANS(B136))*SIN(RADIANS(B137))*(1-COS(RADIANS(C137-C136))))))=0,1,2/(ACOS(MIN(1,MAX(-1,COS(RADIANS(B137-B136))-SIN(RADIANS(B136))*SIN(RADIANS(B137))*(1-COS(RADIANS(C137-C136)))))))*TAN((ACOS(MIN(1,MAX(-1,COS(RADIANS(B137-B136))-SIN(RADIANS(B136))*SIN(RADIANS(B137))*(1-COS(RADIANS(C137-C136)))))))/2)))</f>
        <v>9190.45718893982</v>
      </c>
      <c r="E137" s="24" t="n">
        <f aca="false">E136+(A137-A136)/2*(SIN(RADIANS(B136))*COS(RADIANS(C136))+SIN(RADIANS(B137))*COS(RADIANS(C137)))*(IF(ACOS(MIN(1,MAX(-1,COS(RADIANS(B137-B136))-SIN(RADIANS(B136))*SIN(RADIANS(B137))*(1-COS(RADIANS(C137-C136))))))=0,1,2/(ACOS(MIN(1,MAX(-1,COS(RADIANS(B137-B136))-SIN(RADIANS(B136))*SIN(RADIANS(B137))*(1-COS(RADIANS(C137-C136)))))))*TAN((ACOS(MIN(1,MAX(-1,COS(RADIANS(B137-B136))-SIN(RADIANS(B136))*SIN(RADIANS(B137))*(1-COS(RADIANS(C137-C136)))))))/2)))</f>
        <v>-3657.38610382707</v>
      </c>
      <c r="F137" s="24" t="n">
        <f aca="false">F136+(A137-A136)/2*(SIN(RADIANS(B136))*SIN(RADIANS(C136))+SIN(RADIANS(B137))*SIN(RADIANS(C137)))*(IF(ACOS(MIN(1,MAX(-1,COS(RADIANS(B137-B136))-SIN(RADIANS(B136))*SIN(RADIANS(B137))*(1-COS(RADIANS(C137-C136))))))=0,1,2/(ACOS(MIN(1,MAX(-1,COS(RADIANS(B137-B136))-SIN(RADIANS(B136))*SIN(RADIANS(B137))*(1-COS(RADIANS(C137-C136)))))))*TAN((ACOS(MIN(1,MAX(-1,COS(RADIANS(B137-B136))-SIN(RADIANS(B136))*SIN(RADIANS(B137))*(1-COS(RADIANS(C137-C136)))))))/2)))</f>
        <v>2634.10297218208</v>
      </c>
      <c r="G137" s="24" t="n">
        <f aca="false">IF(H137=0,0,DEGREES(ACOS(MIN(1,MAX(-1,COS(RADIANS(B137-B136))-SIN(RADIANS(B136))*SIN(RADIANS(B137))*(1-COS(RADIANS(C137-C136)))))))*100/H137)</f>
        <v>0.354560701267583</v>
      </c>
      <c r="H137" s="24" t="n">
        <f aca="false">A137-A136</f>
        <v>93</v>
      </c>
      <c r="I137" s="24" t="n">
        <f aca="false">J137*COS(RADIANS(K137-Well_Data!$B$68))</f>
        <v>4507.17439305527</v>
      </c>
      <c r="J137" s="24" t="n">
        <f aca="false">SQRT(E137^2+F137^2)</f>
        <v>4507.2132832301</v>
      </c>
      <c r="K137" s="24" t="n">
        <f aca="false">IF(J137=0,0,MOD(DEGREES(ATAN2(E137,F137)),360))</f>
        <v>144.238014730229</v>
      </c>
    </row>
    <row r="138" customFormat="false" ht="15" hidden="false" customHeight="true" outlineLevel="0" collapsed="false">
      <c r="A138" s="20" t="n">
        <v>10654</v>
      </c>
      <c r="B138" s="20" t="n">
        <v>34.47</v>
      </c>
      <c r="C138" s="20" t="n">
        <v>145.16</v>
      </c>
      <c r="D138" s="24" t="n">
        <f aca="false">D137+(A138-A137)/2*(COS(RADIANS(B137))+COS(RADIANS(B138)))*(IF(ACOS(MIN(1,MAX(-1,COS(RADIANS(B138-B137))-SIN(RADIANS(B137))*SIN(RADIANS(B138))*(1-COS(RADIANS(C138-C137))))))=0,1,2/(ACOS(MIN(1,MAX(-1,COS(RADIANS(B138-B137))-SIN(RADIANS(B137))*SIN(RADIANS(B138))*(1-COS(RADIANS(C138-C137)))))))*TAN((ACOS(MIN(1,MAX(-1,COS(RADIANS(B138-B137))-SIN(RADIANS(B137))*SIN(RADIANS(B138))*(1-COS(RADIANS(C138-C137)))))))/2)))</f>
        <v>9266.98122627905</v>
      </c>
      <c r="E138" s="24" t="n">
        <f aca="false">E137+(A138-A137)/2*(SIN(RADIANS(B137))*COS(RADIANS(C137))+SIN(RADIANS(B138))*COS(RADIANS(C138)))*(IF(ACOS(MIN(1,MAX(-1,COS(RADIANS(B138-B137))-SIN(RADIANS(B137))*SIN(RADIANS(B138))*(1-COS(RADIANS(C138-C137))))))=0,1,2/(ACOS(MIN(1,MAX(-1,COS(RADIANS(B138-B137))-SIN(RADIANS(B137))*SIN(RADIANS(B138))*(1-COS(RADIANS(C138-C137)))))))*TAN((ACOS(MIN(1,MAX(-1,COS(RADIANS(B138-B137))-SIN(RADIANS(B137))*SIN(RADIANS(B138))*(1-COS(RADIANS(C138-C137)))))))/2)))</f>
        <v>-3700.87554531887</v>
      </c>
      <c r="F138" s="24" t="n">
        <f aca="false">F137+(A138-A137)/2*(SIN(RADIANS(B137))*SIN(RADIANS(C137))+SIN(RADIANS(B138))*SIN(RADIANS(C138)))*(IF(ACOS(MIN(1,MAX(-1,COS(RADIANS(B138-B137))-SIN(RADIANS(B137))*SIN(RADIANS(B138))*(1-COS(RADIANS(C138-C137))))))=0,1,2/(ACOS(MIN(1,MAX(-1,COS(RADIANS(B138-B137))-SIN(RADIANS(B137))*SIN(RADIANS(B138))*(1-COS(RADIANS(C138-C137)))))))*TAN((ACOS(MIN(1,MAX(-1,COS(RADIANS(B138-B137))-SIN(RADIANS(B137))*SIN(RADIANS(B138))*(1-COS(RADIANS(C138-C137)))))))/2)))</f>
        <v>2664.13136868361</v>
      </c>
      <c r="G138" s="24" t="n">
        <f aca="false">IF(H138=0,0,DEGREES(ACOS(MIN(1,MAX(-1,COS(RADIANS(B138-B137))-SIN(RADIANS(B137))*SIN(RADIANS(B138))*(1-COS(RADIANS(C138-C137)))))))*100/H138)</f>
        <v>0.432933674333564</v>
      </c>
      <c r="H138" s="24" t="n">
        <f aca="false">A138-A137</f>
        <v>93</v>
      </c>
      <c r="I138" s="24" t="n">
        <f aca="false">J138*COS(RADIANS(K138-Well_Data!$B$68))</f>
        <v>4560.0083389116</v>
      </c>
      <c r="J138" s="24" t="n">
        <f aca="false">SQRT(E138^2+F138^2)</f>
        <v>4560.05216544101</v>
      </c>
      <c r="K138" s="24" t="n">
        <f aca="false">IF(J138=0,0,MOD(DEGREES(ATAN2(E138,F138)),360))</f>
        <v>144.251201144001</v>
      </c>
    </row>
    <row r="139" customFormat="false" ht="15" hidden="false" customHeight="true" outlineLevel="0" collapsed="false">
      <c r="A139" s="20" t="n">
        <v>10747</v>
      </c>
      <c r="B139" s="20" t="n">
        <v>34.55</v>
      </c>
      <c r="C139" s="20" t="n">
        <v>145.49</v>
      </c>
      <c r="D139" s="24" t="n">
        <f aca="false">D138+(A139-A138)/2*(COS(RADIANS(B138))+COS(RADIANS(B139)))*(IF(ACOS(MIN(1,MAX(-1,COS(RADIANS(B139-B138))-SIN(RADIANS(B138))*SIN(RADIANS(B139))*(1-COS(RADIANS(C139-C138))))))=0,1,2/(ACOS(MIN(1,MAX(-1,COS(RADIANS(B139-B138))-SIN(RADIANS(B138))*SIN(RADIANS(B139))*(1-COS(RADIANS(C139-C138)))))))*TAN((ACOS(MIN(1,MAX(-1,COS(RADIANS(B139-B138))-SIN(RADIANS(B138))*SIN(RADIANS(B139))*(1-COS(RADIANS(C139-C138)))))))/2)))</f>
        <v>9343.61582876936</v>
      </c>
      <c r="E139" s="24" t="n">
        <f aca="false">E138+(A139-A138)/2*(SIN(RADIANS(B138))*COS(RADIANS(C138))+SIN(RADIANS(B139))*COS(RADIANS(C139)))*(IF(ACOS(MIN(1,MAX(-1,COS(RADIANS(B139-B138))-SIN(RADIANS(B138))*SIN(RADIANS(B139))*(1-COS(RADIANS(C139-C138))))))=0,1,2/(ACOS(MIN(1,MAX(-1,COS(RADIANS(B139-B138))-SIN(RADIANS(B138))*SIN(RADIANS(B139))*(1-COS(RADIANS(C139-C138)))))))*TAN((ACOS(MIN(1,MAX(-1,COS(RADIANS(B139-B138))-SIN(RADIANS(B138))*SIN(RADIANS(B139))*(1-COS(RADIANS(C139-C138)))))))/2)))</f>
        <v>-3744.20664753027</v>
      </c>
      <c r="F139" s="24" t="n">
        <f aca="false">F138+(A139-A138)/2*(SIN(RADIANS(B138))*SIN(RADIANS(C138))+SIN(RADIANS(B139))*SIN(RADIANS(C139)))*(IF(ACOS(MIN(1,MAX(-1,COS(RADIANS(B139-B138))-SIN(RADIANS(B138))*SIN(RADIANS(B139))*(1-COS(RADIANS(C139-C138))))))=0,1,2/(ACOS(MIN(1,MAX(-1,COS(RADIANS(B139-B138))-SIN(RADIANS(B138))*SIN(RADIANS(B139))*(1-COS(RADIANS(C139-C138)))))))*TAN((ACOS(MIN(1,MAX(-1,COS(RADIANS(B139-B138))-SIN(RADIANS(B138))*SIN(RADIANS(B139))*(1-COS(RADIANS(C139-C138)))))))/2)))</f>
        <v>2694.10709557713</v>
      </c>
      <c r="G139" s="24" t="n">
        <f aca="false">IF(H139=0,0,DEGREES(ACOS(MIN(1,MAX(-1,COS(RADIANS(B139-B138))-SIN(RADIANS(B138))*SIN(RADIANS(B139))*(1-COS(RADIANS(C139-C138)))))))*100/H139)</f>
        <v>0.218664587677133</v>
      </c>
      <c r="H139" s="24" t="n">
        <f aca="false">A139-A138</f>
        <v>93</v>
      </c>
      <c r="I139" s="24" t="n">
        <f aca="false">J139*COS(RADIANS(K139-Well_Data!$B$68))</f>
        <v>4612.68322718038</v>
      </c>
      <c r="J139" s="24" t="n">
        <f aca="false">SQRT(E139^2+F139^2)</f>
        <v>4612.73199545008</v>
      </c>
      <c r="K139" s="24" t="n">
        <f aca="false">IF(J139=0,0,MOD(DEGREES(ATAN2(E139,F139)),360))</f>
        <v>144.263467818322</v>
      </c>
    </row>
    <row r="140" customFormat="false" ht="15" hidden="false" customHeight="true" outlineLevel="0" collapsed="false">
      <c r="A140" s="20" t="n">
        <v>10840</v>
      </c>
      <c r="B140" s="20" t="n">
        <v>34.4</v>
      </c>
      <c r="C140" s="20" t="n">
        <v>145.23</v>
      </c>
      <c r="D140" s="24" t="n">
        <f aca="false">D139+(A140-A139)/2*(COS(RADIANS(B139))+COS(RADIANS(B140)))*(IF(ACOS(MIN(1,MAX(-1,COS(RADIANS(B140-B139))-SIN(RADIANS(B139))*SIN(RADIANS(B140))*(1-COS(RADIANS(C140-C139))))))=0,1,2/(ACOS(MIN(1,MAX(-1,COS(RADIANS(B140-B139))-SIN(RADIANS(B139))*SIN(RADIANS(B140))*(1-COS(RADIANS(C140-C139)))))))*TAN((ACOS(MIN(1,MAX(-1,COS(RADIANS(B140-B139))-SIN(RADIANS(B139))*SIN(RADIANS(B140))*(1-COS(RADIANS(C140-C139)))))))/2)))</f>
        <v>9420.28256141819</v>
      </c>
      <c r="E140" s="24" t="n">
        <f aca="false">E139+(A140-A139)/2*(SIN(RADIANS(B139))*COS(RADIANS(C139))+SIN(RADIANS(B140))*COS(RADIANS(C140)))*(IF(ACOS(MIN(1,MAX(-1,COS(RADIANS(B140-B139))-SIN(RADIANS(B139))*SIN(RADIANS(B140))*(1-COS(RADIANS(C140-C139))))))=0,1,2/(ACOS(MIN(1,MAX(-1,COS(RADIANS(B140-B139))-SIN(RADIANS(B139))*SIN(RADIANS(B140))*(1-COS(RADIANS(C140-C139)))))))*TAN((ACOS(MIN(1,MAX(-1,COS(RADIANS(B140-B139))-SIN(RADIANS(B139))*SIN(RADIANS(B140))*(1-COS(RADIANS(C140-C139)))))))/2)))</f>
        <v>-3787.51761609827</v>
      </c>
      <c r="F140" s="24" t="n">
        <f aca="false">F139+(A140-A139)/2*(SIN(RADIANS(B139))*SIN(RADIANS(C139))+SIN(RADIANS(B140))*SIN(RADIANS(C140)))*(IF(ACOS(MIN(1,MAX(-1,COS(RADIANS(B140-B139))-SIN(RADIANS(B139))*SIN(RADIANS(B140))*(1-COS(RADIANS(C140-C139))))))=0,1,2/(ACOS(MIN(1,MAX(-1,COS(RADIANS(B140-B139))-SIN(RADIANS(B139))*SIN(RADIANS(B140))*(1-COS(RADIANS(C140-C139)))))))*TAN((ACOS(MIN(1,MAX(-1,COS(RADIANS(B140-B139))-SIN(RADIANS(B139))*SIN(RADIANS(B140))*(1-COS(RADIANS(C140-C139)))))))/2)))</f>
        <v>2724.02970260433</v>
      </c>
      <c r="G140" s="24" t="n">
        <f aca="false">IF(H140=0,0,DEGREES(ACOS(MIN(1,MAX(-1,COS(RADIANS(B140-B139))-SIN(RADIANS(B139))*SIN(RADIANS(B140))*(1-COS(RADIANS(C140-C139)))))))*100/H140)</f>
        <v>0.225958767432413</v>
      </c>
      <c r="H140" s="24" t="n">
        <f aca="false">A140-A139</f>
        <v>93</v>
      </c>
      <c r="I140" s="24" t="n">
        <f aca="false">J140*COS(RADIANS(K140-Well_Data!$B$68))</f>
        <v>4665.31060391547</v>
      </c>
      <c r="J140" s="24" t="n">
        <f aca="false">SQRT(E140^2+F140^2)</f>
        <v>4665.36467094753</v>
      </c>
      <c r="K140" s="24" t="n">
        <f aca="false">IF(J140=0,0,MOD(DEGREES(ATAN2(E140,F140)),360))</f>
        <v>144.275842713665</v>
      </c>
    </row>
    <row r="141" customFormat="false" ht="15" hidden="false" customHeight="true" outlineLevel="0" collapsed="false">
      <c r="A141" s="20" t="n">
        <v>10933</v>
      </c>
      <c r="B141" s="20" t="n">
        <v>34.64</v>
      </c>
      <c r="C141" s="20" t="n">
        <v>145.35</v>
      </c>
      <c r="D141" s="24" t="n">
        <f aca="false">D140+(A141-A140)/2*(COS(RADIANS(B140))+COS(RADIANS(B141)))*(IF(ACOS(MIN(1,MAX(-1,COS(RADIANS(B141-B140))-SIN(RADIANS(B140))*SIN(RADIANS(B141))*(1-COS(RADIANS(C141-C140))))))=0,1,2/(ACOS(MIN(1,MAX(-1,COS(RADIANS(B141-B140))-SIN(RADIANS(B140))*SIN(RADIANS(B141))*(1-COS(RADIANS(C141-C140)))))))*TAN((ACOS(MIN(1,MAX(-1,COS(RADIANS(B141-B140))-SIN(RADIANS(B140))*SIN(RADIANS(B141))*(1-COS(RADIANS(C141-C140)))))))/2)))</f>
        <v>9496.90785795068</v>
      </c>
      <c r="E141" s="24" t="n">
        <f aca="false">E140+(A141-A140)/2*(SIN(RADIANS(B140))*COS(RADIANS(C140))+SIN(RADIANS(B141))*COS(RADIANS(C141)))*(IF(ACOS(MIN(1,MAX(-1,COS(RADIANS(B141-B140))-SIN(RADIANS(B140))*SIN(RADIANS(B141))*(1-COS(RADIANS(C141-C140))))))=0,1,2/(ACOS(MIN(1,MAX(-1,COS(RADIANS(B141-B140))-SIN(RADIANS(B140))*SIN(RADIANS(B141))*(1-COS(RADIANS(C141-C140)))))))*TAN((ACOS(MIN(1,MAX(-1,COS(RADIANS(B141-B140))-SIN(RADIANS(B140))*SIN(RADIANS(B141))*(1-COS(RADIANS(C141-C140)))))))/2)))</f>
        <v>-3830.84149579967</v>
      </c>
      <c r="F141" s="24" t="n">
        <f aca="false">F140+(A141-A140)/2*(SIN(RADIANS(B140))*SIN(RADIANS(C140))+SIN(RADIANS(B141))*SIN(RADIANS(C141)))*(IF(ACOS(MIN(1,MAX(-1,COS(RADIANS(B141-B140))-SIN(RADIANS(B140))*SIN(RADIANS(B141))*(1-COS(RADIANS(C141-C140))))))=0,1,2/(ACOS(MIN(1,MAX(-1,COS(RADIANS(B141-B140))-SIN(RADIANS(B140))*SIN(RADIANS(B141))*(1-COS(RADIANS(C141-C140)))))))*TAN((ACOS(MIN(1,MAX(-1,COS(RADIANS(B141-B140))-SIN(RADIANS(B140))*SIN(RADIANS(B141))*(1-COS(RADIANS(C141-C140)))))))/2)))</f>
        <v>2754.03956294029</v>
      </c>
      <c r="G141" s="24" t="n">
        <f aca="false">IF(H141=0,0,DEGREES(ACOS(MIN(1,MAX(-1,COS(RADIANS(B141-B140))-SIN(RADIANS(B140))*SIN(RADIANS(B141))*(1-COS(RADIANS(C141-C140)))))))*100/H141)</f>
        <v>0.268223846841607</v>
      </c>
      <c r="H141" s="24" t="n">
        <f aca="false">A141-A140</f>
        <v>93</v>
      </c>
      <c r="I141" s="24" t="n">
        <f aca="false">J141*COS(RADIANS(K141-Well_Data!$B$68))</f>
        <v>4717.99971218499</v>
      </c>
      <c r="J141" s="24" t="n">
        <f aca="false">SQRT(E141^2+F141^2)</f>
        <v>4718.05897379219</v>
      </c>
      <c r="K141" s="24" t="n">
        <f aca="false">IF(J141=0,0,MOD(DEGREES(ATAN2(E141,F141)),360))</f>
        <v>144.287172675947</v>
      </c>
    </row>
    <row r="142" customFormat="false" ht="15" hidden="false" customHeight="true" outlineLevel="0" collapsed="false">
      <c r="A142" s="20" t="n">
        <v>11026</v>
      </c>
      <c r="B142" s="20" t="n">
        <v>34.55</v>
      </c>
      <c r="C142" s="20" t="n">
        <v>145.33</v>
      </c>
      <c r="D142" s="24" t="n">
        <f aca="false">D141+(A142-A141)/2*(COS(RADIANS(B141))+COS(RADIANS(B142)))*(IF(ACOS(MIN(1,MAX(-1,COS(RADIANS(B142-B141))-SIN(RADIANS(B141))*SIN(RADIANS(B142))*(1-COS(RADIANS(C142-C141))))))=0,1,2/(ACOS(MIN(1,MAX(-1,COS(RADIANS(B142-B141))-SIN(RADIANS(B141))*SIN(RADIANS(B142))*(1-COS(RADIANS(C142-C141)))))))*TAN((ACOS(MIN(1,MAX(-1,COS(RADIANS(B142-B141))-SIN(RADIANS(B141))*SIN(RADIANS(B142))*(1-COS(RADIANS(C142-C141)))))))/2)))</f>
        <v>9573.46414080834</v>
      </c>
      <c r="E142" s="24" t="n">
        <f aca="false">E141+(A142-A141)/2*(SIN(RADIANS(B141))*COS(RADIANS(C141))+SIN(RADIANS(B142))*COS(RADIANS(C142)))*(IF(ACOS(MIN(1,MAX(-1,COS(RADIANS(B142-B141))-SIN(RADIANS(B141))*SIN(RADIANS(B142))*(1-COS(RADIANS(C142-C141))))))=0,1,2/(ACOS(MIN(1,MAX(-1,COS(RADIANS(B142-B141))-SIN(RADIANS(B141))*SIN(RADIANS(B142))*(1-COS(RADIANS(C142-C141)))))))*TAN((ACOS(MIN(1,MAX(-1,COS(RADIANS(B142-B141))-SIN(RADIANS(B141))*SIN(RADIANS(B142))*(1-COS(RADIANS(C142-C141)))))))/2)))</f>
        <v>-3874.27396897693</v>
      </c>
      <c r="F142" s="24" t="n">
        <f aca="false">F141+(A142-A141)/2*(SIN(RADIANS(B141))*SIN(RADIANS(C141))+SIN(RADIANS(B142))*SIN(RADIANS(C142)))*(IF(ACOS(MIN(1,MAX(-1,COS(RADIANS(B142-B141))-SIN(RADIANS(B141))*SIN(RADIANS(B142))*(1-COS(RADIANS(C142-C141))))))=0,1,2/(ACOS(MIN(1,MAX(-1,COS(RADIANS(B142-B141))-SIN(RADIANS(B141))*SIN(RADIANS(B142))*(1-COS(RADIANS(C142-C141)))))))*TAN((ACOS(MIN(1,MAX(-1,COS(RADIANS(B142-B141))-SIN(RADIANS(B141))*SIN(RADIANS(B142))*(1-COS(RADIANS(C142-C141)))))))/2)))</f>
        <v>2784.06878241125</v>
      </c>
      <c r="G142" s="24" t="n">
        <f aca="false">IF(H142=0,0,DEGREES(ACOS(MIN(1,MAX(-1,COS(RADIANS(B142-B141))-SIN(RADIANS(B141))*SIN(RADIANS(B142))*(1-COS(RADIANS(C142-C141)))))))*100/H142)</f>
        <v>0.097541437560764</v>
      </c>
      <c r="H142" s="24" t="n">
        <f aca="false">A142-A141</f>
        <v>93</v>
      </c>
      <c r="I142" s="24" t="n">
        <f aca="false">J142*COS(RADIANS(K142-Well_Data!$B$68))</f>
        <v>4770.78805343601</v>
      </c>
      <c r="J142" s="24" t="n">
        <f aca="false">SQRT(E142^2+F142^2)</f>
        <v>4770.85293966279</v>
      </c>
      <c r="K142" s="24" t="n">
        <f aca="false">IF(J142=0,0,MOD(DEGREES(ATAN2(E142,F142)),360))</f>
        <v>144.298824614318</v>
      </c>
    </row>
    <row r="143" customFormat="false" ht="15" hidden="false" customHeight="true" outlineLevel="0" collapsed="false">
      <c r="A143" s="20" t="n">
        <v>11119</v>
      </c>
      <c r="B143" s="20" t="n">
        <v>34.71</v>
      </c>
      <c r="C143" s="20" t="n">
        <v>145.47</v>
      </c>
      <c r="D143" s="24" t="n">
        <f aca="false">D142+(A143-A142)/2*(COS(RADIANS(B142))+COS(RADIANS(B143)))*(IF(ACOS(MIN(1,MAX(-1,COS(RADIANS(B143-B142))-SIN(RADIANS(B142))*SIN(RADIANS(B143))*(1-COS(RADIANS(C143-C142))))))=0,1,2/(ACOS(MIN(1,MAX(-1,COS(RADIANS(B143-B142))-SIN(RADIANS(B142))*SIN(RADIANS(B143))*(1-COS(RADIANS(C143-C142)))))))*TAN((ACOS(MIN(1,MAX(-1,COS(RADIANS(B143-B142))-SIN(RADIANS(B142))*SIN(RADIANS(B143))*(1-COS(RADIANS(C143-C142)))))))/2)))</f>
        <v>9649.98814904763</v>
      </c>
      <c r="E143" s="24" t="n">
        <f aca="false">E142+(A143-A142)/2*(SIN(RADIANS(B142))*COS(RADIANS(C142))+SIN(RADIANS(B143))*COS(RADIANS(C143)))*(IF(ACOS(MIN(1,MAX(-1,COS(RADIANS(B143-B142))-SIN(RADIANS(B142))*SIN(RADIANS(B143))*(1-COS(RADIANS(C143-C142))))))=0,1,2/(ACOS(MIN(1,MAX(-1,COS(RADIANS(B143-B142))-SIN(RADIANS(B142))*SIN(RADIANS(B143))*(1-COS(RADIANS(C143-C142)))))))*TAN((ACOS(MIN(1,MAX(-1,COS(RADIANS(B143-B142))-SIN(RADIANS(B142))*SIN(RADIANS(B143))*(1-COS(RADIANS(C143-C142)))))))/2)))</f>
        <v>-3917.77638473736</v>
      </c>
      <c r="F143" s="24" t="n">
        <f aca="false">F142+(A143-A142)/2*(SIN(RADIANS(B142))*SIN(RADIANS(C142))+SIN(RADIANS(B143))*SIN(RADIANS(C143)))*(IF(ACOS(MIN(1,MAX(-1,COS(RADIANS(B143-B142))-SIN(RADIANS(B142))*SIN(RADIANS(B143))*(1-COS(RADIANS(C143-C142))))))=0,1,2/(ACOS(MIN(1,MAX(-1,COS(RADIANS(B143-B142))-SIN(RADIANS(B142))*SIN(RADIANS(B143))*(1-COS(RADIANS(C143-C142)))))))*TAN((ACOS(MIN(1,MAX(-1,COS(RADIANS(B143-B142))-SIN(RADIANS(B142))*SIN(RADIANS(B143))*(1-COS(RADIANS(C143-C142)))))))/2)))</f>
        <v>2814.07893029128</v>
      </c>
      <c r="G143" s="24" t="n">
        <f aca="false">IF(H143=0,0,DEGREES(ACOS(MIN(1,MAX(-1,COS(RADIANS(B143-B142))-SIN(RADIANS(B142))*SIN(RADIANS(B143))*(1-COS(RADIANS(C143-C142)))))))*100/H143)</f>
        <v>0.19213797709688</v>
      </c>
      <c r="H143" s="24" t="n">
        <f aca="false">A143-A142</f>
        <v>93</v>
      </c>
      <c r="I143" s="24" t="n">
        <f aca="false">J143*COS(RADIANS(K143-Well_Data!$B$68))</f>
        <v>4823.62176942555</v>
      </c>
      <c r="J143" s="24" t="n">
        <f aca="false">SQRT(E143^2+F143^2)</f>
        <v>4823.69277905579</v>
      </c>
      <c r="K143" s="24" t="n">
        <f aca="false">IF(J143=0,0,MOD(DEGREES(ATAN2(E143,F143)),360))</f>
        <v>144.310890154508</v>
      </c>
    </row>
    <row r="144" customFormat="false" ht="15" hidden="false" customHeight="true" outlineLevel="0" collapsed="false">
      <c r="A144" s="20" t="n">
        <v>11212</v>
      </c>
      <c r="B144" s="20" t="n">
        <v>34.62</v>
      </c>
      <c r="C144" s="20" t="n">
        <v>145.63</v>
      </c>
      <c r="D144" s="24" t="n">
        <f aca="false">D143+(A144-A143)/2*(COS(RADIANS(B143))+COS(RADIANS(B144)))*(IF(ACOS(MIN(1,MAX(-1,COS(RADIANS(B144-B143))-SIN(RADIANS(B143))*SIN(RADIANS(B144))*(1-COS(RADIANS(C144-C143))))))=0,1,2/(ACOS(MIN(1,MAX(-1,COS(RADIANS(B144-B143))-SIN(RADIANS(B143))*SIN(RADIANS(B144))*(1-COS(RADIANS(C144-C143)))))))*TAN((ACOS(MIN(1,MAX(-1,COS(RADIANS(B144-B143))-SIN(RADIANS(B143))*SIN(RADIANS(B144))*(1-COS(RADIANS(C144-C143)))))))/2)))</f>
        <v>9726.47987984845</v>
      </c>
      <c r="E144" s="24" t="n">
        <f aca="false">E143+(A144-A143)/2*(SIN(RADIANS(B143))*COS(RADIANS(C143))+SIN(RADIANS(B144))*COS(RADIANS(C144)))*(IF(ACOS(MIN(1,MAX(-1,COS(RADIANS(B144-B143))-SIN(RADIANS(B143))*SIN(RADIANS(B144))*(1-COS(RADIANS(C144-C143))))))=0,1,2/(ACOS(MIN(1,MAX(-1,COS(RADIANS(B144-B143))-SIN(RADIANS(B143))*SIN(RADIANS(B144))*(1-COS(RADIANS(C144-C143)))))))*TAN((ACOS(MIN(1,MAX(-1,COS(RADIANS(B144-B143))-SIN(RADIANS(B143))*SIN(RADIANS(B144))*(1-COS(RADIANS(C144-C143)))))))/2)))</f>
        <v>-3961.39563771363</v>
      </c>
      <c r="F144" s="24" t="n">
        <f aca="false">F143+(A144-A143)/2*(SIN(RADIANS(B143))*SIN(RADIANS(C143))+SIN(RADIANS(B144))*SIN(RADIANS(C144)))*(IF(ACOS(MIN(1,MAX(-1,COS(RADIANS(B144-B143))-SIN(RADIANS(B143))*SIN(RADIANS(B144))*(1-COS(RADIANS(C144-C143))))))=0,1,2/(ACOS(MIN(1,MAX(-1,COS(RADIANS(B144-B143))-SIN(RADIANS(B143))*SIN(RADIANS(B144))*(1-COS(RADIANS(C144-C143)))))))*TAN((ACOS(MIN(1,MAX(-1,COS(RADIANS(B144-B143))-SIN(RADIANS(B143))*SIN(RADIANS(B144))*(1-COS(RADIANS(C144-C143)))))))/2)))</f>
        <v>2844.00170242588</v>
      </c>
      <c r="G144" s="24" t="n">
        <f aca="false">IF(H144=0,0,DEGREES(ACOS(MIN(1,MAX(-1,COS(RADIANS(B144-B143))-SIN(RADIANS(B143))*SIN(RADIANS(B144))*(1-COS(RADIANS(C144-C143)))))))*100/H144)</f>
        <v>0.137625066883095</v>
      </c>
      <c r="H144" s="24" t="n">
        <f aca="false">A144-A143</f>
        <v>93</v>
      </c>
      <c r="I144" s="24" t="n">
        <f aca="false">J144*COS(RADIANS(K144-Well_Data!$B$68))</f>
        <v>4876.49865053373</v>
      </c>
      <c r="J144" s="24" t="n">
        <f aca="false">SQRT(E144^2+F144^2)</f>
        <v>4876.57677904264</v>
      </c>
      <c r="K144" s="24" t="n">
        <f aca="false">IF(J144=0,0,MOD(DEGREES(ATAN2(E144,F144)),360))</f>
        <v>144.32432874744</v>
      </c>
    </row>
    <row r="145" customFormat="false" ht="15" hidden="false" customHeight="true" outlineLevel="0" collapsed="false">
      <c r="A145" s="20" t="n">
        <v>11305</v>
      </c>
      <c r="B145" s="20" t="n">
        <v>34.6</v>
      </c>
      <c r="C145" s="20" t="n">
        <v>145.7</v>
      </c>
      <c r="D145" s="24" t="n">
        <f aca="false">D144+(A145-A144)/2*(COS(RADIANS(B144))+COS(RADIANS(B145)))*(IF(ACOS(MIN(1,MAX(-1,COS(RADIANS(B145-B144))-SIN(RADIANS(B144))*SIN(RADIANS(B145))*(1-COS(RADIANS(C145-C144))))))=0,1,2/(ACOS(MIN(1,MAX(-1,COS(RADIANS(B145-B144))-SIN(RADIANS(B144))*SIN(RADIANS(B145))*(1-COS(RADIANS(C145-C144)))))))*TAN((ACOS(MIN(1,MAX(-1,COS(RADIANS(B145-B144))-SIN(RADIANS(B144))*SIN(RADIANS(B145))*(1-COS(RADIANS(C145-C144)))))))/2)))</f>
        <v>9803.02234664816</v>
      </c>
      <c r="E145" s="24" t="n">
        <f aca="false">E144+(A145-A144)/2*(SIN(RADIANS(B144))*COS(RADIANS(C144))+SIN(RADIANS(B145))*COS(RADIANS(C145)))*(IF(ACOS(MIN(1,MAX(-1,COS(RADIANS(B145-B144))-SIN(RADIANS(B144))*SIN(RADIANS(B145))*(1-COS(RADIANS(C145-C144))))))=0,1,2/(ACOS(MIN(1,MAX(-1,COS(RADIANS(B145-B144))-SIN(RADIANS(B144))*SIN(RADIANS(B145))*(1-COS(RADIANS(C145-C144)))))))*TAN((ACOS(MIN(1,MAX(-1,COS(RADIANS(B145-B144))-SIN(RADIANS(B144))*SIN(RADIANS(B145))*(1-COS(RADIANS(C145-C144)))))))/2)))</f>
        <v>-4005.01428305907</v>
      </c>
      <c r="F145" s="24" t="n">
        <f aca="false">F144+(A145-A144)/2*(SIN(RADIANS(B144))*SIN(RADIANS(C144))+SIN(RADIANS(B145))*SIN(RADIANS(C145)))*(IF(ACOS(MIN(1,MAX(-1,COS(RADIANS(B145-B144))-SIN(RADIANS(B144))*SIN(RADIANS(B145))*(1-COS(RADIANS(C145-C144))))))=0,1,2/(ACOS(MIN(1,MAX(-1,COS(RADIANS(B145-B144))-SIN(RADIANS(B144))*SIN(RADIANS(B145))*(1-COS(RADIANS(C145-C144)))))))*TAN((ACOS(MIN(1,MAX(-1,COS(RADIANS(B145-B144))-SIN(RADIANS(B144))*SIN(RADIANS(B145))*(1-COS(RADIANS(C145-C144)))))))/2)))</f>
        <v>2873.79539503952</v>
      </c>
      <c r="G145" s="24" t="n">
        <f aca="false">IF(H145=0,0,DEGREES(ACOS(MIN(1,MAX(-1,COS(RADIANS(B145-B144))-SIN(RADIANS(B144))*SIN(RADIANS(B145))*(1-COS(RADIANS(C145-C144)))))))*100/H145)</f>
        <v>0.0478559524216041</v>
      </c>
      <c r="H145" s="24" t="n">
        <f aca="false">A145-A144</f>
        <v>93</v>
      </c>
      <c r="I145" s="24" t="n">
        <f aca="false">J145*COS(RADIANS(K145-Well_Data!$B$68))</f>
        <v>4929.29916901944</v>
      </c>
      <c r="J145" s="24" t="n">
        <f aca="false">SQRT(E145^2+F145^2)</f>
        <v>4929.38529434021</v>
      </c>
      <c r="K145" s="24" t="n">
        <f aca="false">IF(J145=0,0,MOD(DEGREES(ATAN2(E145,F145)),360))</f>
        <v>144.338693846432</v>
      </c>
    </row>
    <row r="146" customFormat="false" ht="15" hidden="false" customHeight="true" outlineLevel="0" collapsed="false">
      <c r="A146" s="20" t="n">
        <v>11398</v>
      </c>
      <c r="B146" s="20" t="n">
        <v>34.64</v>
      </c>
      <c r="C146" s="20" t="n">
        <v>145.77</v>
      </c>
      <c r="D146" s="24" t="n">
        <f aca="false">D145+(A146-A145)/2*(COS(RADIANS(B145))+COS(RADIANS(B146)))*(IF(ACOS(MIN(1,MAX(-1,COS(RADIANS(B146-B145))-SIN(RADIANS(B145))*SIN(RADIANS(B146))*(1-COS(RADIANS(C146-C145))))))=0,1,2/(ACOS(MIN(1,MAX(-1,COS(RADIANS(B146-B145))-SIN(RADIANS(B145))*SIN(RADIANS(B146))*(1-COS(RADIANS(C146-C145)))))))*TAN((ACOS(MIN(1,MAX(-1,COS(RADIANS(B146-B145))-SIN(RADIANS(B145))*SIN(RADIANS(B146))*(1-COS(RADIANS(C146-C145)))))))/2)))</f>
        <v>9879.55559179493</v>
      </c>
      <c r="E146" s="24" t="n">
        <f aca="false">E145+(A146-A145)/2*(SIN(RADIANS(B145))*COS(RADIANS(C145))+SIN(RADIANS(B146))*COS(RADIANS(C146)))*(IF(ACOS(MIN(1,MAX(-1,COS(RADIANS(B146-B145))-SIN(RADIANS(B145))*SIN(RADIANS(B146))*(1-COS(RADIANS(C146-C145))))))=0,1,2/(ACOS(MIN(1,MAX(-1,COS(RADIANS(B146-B145))-SIN(RADIANS(B145))*SIN(RADIANS(B146))*(1-COS(RADIANS(C146-C145)))))))*TAN((ACOS(MIN(1,MAX(-1,COS(RADIANS(B146-B145))-SIN(RADIANS(B145))*SIN(RADIANS(B146))*(1-COS(RADIANS(C146-C145)))))))/2)))</f>
        <v>-4048.68034874916</v>
      </c>
      <c r="F146" s="24" t="n">
        <f aca="false">F145+(A146-A145)/2*(SIN(RADIANS(B145))*SIN(RADIANS(C145))+SIN(RADIANS(B146))*SIN(RADIANS(C146)))*(IF(ACOS(MIN(1,MAX(-1,COS(RADIANS(B146-B145))-SIN(RADIANS(B145))*SIN(RADIANS(B146))*(1-COS(RADIANS(C146-C145))))))=0,1,2/(ACOS(MIN(1,MAX(-1,COS(RADIANS(B146-B145))-SIN(RADIANS(B145))*SIN(RADIANS(B146))*(1-COS(RADIANS(C146-C145)))))))*TAN((ACOS(MIN(1,MAX(-1,COS(RADIANS(B146-B145))-SIN(RADIANS(B145))*SIN(RADIANS(B146))*(1-COS(RADIANS(C146-C145)))))))/2)))</f>
        <v>2903.54327556781</v>
      </c>
      <c r="G146" s="24" t="n">
        <f aca="false">IF(H146=0,0,DEGREES(ACOS(MIN(1,MAX(-1,COS(RADIANS(B146-B145))-SIN(RADIANS(B145))*SIN(RADIANS(B146))*(1-COS(RADIANS(C146-C145)))))))*100/H146)</f>
        <v>0.0606511331133093</v>
      </c>
      <c r="H146" s="24" t="n">
        <f aca="false">A146-A145</f>
        <v>93</v>
      </c>
      <c r="I146" s="24" t="n">
        <f aca="false">J146*COS(RADIANS(K146-Well_Data!$B$68))</f>
        <v>4982.1111237017</v>
      </c>
      <c r="J146" s="24" t="n">
        <f aca="false">SQRT(E146^2+F146^2)</f>
        <v>4982.2059491196</v>
      </c>
      <c r="K146" s="24" t="n">
        <f aca="false">IF(J146=0,0,MOD(DEGREES(ATAN2(E146,F146)),360))</f>
        <v>144.353500362703</v>
      </c>
    </row>
    <row r="147" customFormat="false" ht="15" hidden="false" customHeight="true" outlineLevel="0" collapsed="false">
      <c r="A147" s="20" t="n">
        <v>11491</v>
      </c>
      <c r="B147" s="20" t="n">
        <v>34.42</v>
      </c>
      <c r="C147" s="20" t="n">
        <v>145.75</v>
      </c>
      <c r="D147" s="24" t="n">
        <f aca="false">D146+(A147-A146)/2*(COS(RADIANS(B146))+COS(RADIANS(B147)))*(IF(ACOS(MIN(1,MAX(-1,COS(RADIANS(B147-B146))-SIN(RADIANS(B146))*SIN(RADIANS(B147))*(1-COS(RADIANS(C147-C146))))))=0,1,2/(ACOS(MIN(1,MAX(-1,COS(RADIANS(B147-B146))-SIN(RADIANS(B146))*SIN(RADIANS(B147))*(1-COS(RADIANS(C147-C146)))))))*TAN((ACOS(MIN(1,MAX(-1,COS(RADIANS(B147-B146))-SIN(RADIANS(B146))*SIN(RADIANS(B147))*(1-COS(RADIANS(C147-C146)))))))/2)))</f>
        <v>9956.17168904172</v>
      </c>
      <c r="E147" s="24" t="n">
        <f aca="false">E146+(A147-A146)/2*(SIN(RADIANS(B146))*COS(RADIANS(C146))+SIN(RADIANS(B147))*COS(RADIANS(C147)))*(IF(ACOS(MIN(1,MAX(-1,COS(RADIANS(B147-B146))-SIN(RADIANS(B146))*SIN(RADIANS(B147))*(1-COS(RADIANS(C147-C146))))))=0,1,2/(ACOS(MIN(1,MAX(-1,COS(RADIANS(B147-B146))-SIN(RADIANS(B146))*SIN(RADIANS(B147))*(1-COS(RADIANS(C147-C146)))))))*TAN((ACOS(MIN(1,MAX(-1,COS(RADIANS(B147-B146))-SIN(RADIANS(B146))*SIN(RADIANS(B147))*(1-COS(RADIANS(C147-C146)))))))/2)))</f>
        <v>-4092.25993876246</v>
      </c>
      <c r="F147" s="24" t="n">
        <f aca="false">F146+(A147-A146)/2*(SIN(RADIANS(B146))*SIN(RADIANS(C146))+SIN(RADIANS(B147))*SIN(RADIANS(C147)))*(IF(ACOS(MIN(1,MAX(-1,COS(RADIANS(B147-B146))-SIN(RADIANS(B146))*SIN(RADIANS(B147))*(1-COS(RADIANS(C147-C146))))))=0,1,2/(ACOS(MIN(1,MAX(-1,COS(RADIANS(B147-B146))-SIN(RADIANS(B146))*SIN(RADIANS(B147))*(1-COS(RADIANS(C147-C146)))))))*TAN((ACOS(MIN(1,MAX(-1,COS(RADIANS(B147-B146))-SIN(RADIANS(B146))*SIN(RADIANS(B147))*(1-COS(RADIANS(C147-C146)))))))/2)))</f>
        <v>2933.20440033351</v>
      </c>
      <c r="G147" s="24" t="n">
        <f aca="false">IF(H147=0,0,DEGREES(ACOS(MIN(1,MAX(-1,COS(RADIANS(B147-B146))-SIN(RADIANS(B146))*SIN(RADIANS(B147))*(1-COS(RADIANS(C147-C146)))))))*100/H147)</f>
        <v>0.236873009808164</v>
      </c>
      <c r="H147" s="24" t="n">
        <f aca="false">A147-A146</f>
        <v>93</v>
      </c>
      <c r="I147" s="24" t="n">
        <f aca="false">J147*COS(RADIANS(K147-Well_Data!$B$68))</f>
        <v>5034.80212433404</v>
      </c>
      <c r="J147" s="24" t="n">
        <f aca="false">SQRT(E147^2+F147^2)</f>
        <v>5034.90610245474</v>
      </c>
      <c r="K147" s="24" t="n">
        <f aca="false">IF(J147=0,0,MOD(DEGREES(ATAN2(E147,F147)),360))</f>
        <v>144.368225339864</v>
      </c>
    </row>
    <row r="148" customFormat="false" ht="15" hidden="false" customHeight="true" outlineLevel="0" collapsed="false">
      <c r="A148" s="20" t="n">
        <v>11584</v>
      </c>
      <c r="B148" s="20" t="n">
        <v>34.79</v>
      </c>
      <c r="C148" s="20" t="n">
        <v>145.44</v>
      </c>
      <c r="D148" s="24" t="n">
        <f aca="false">D147+(A148-A147)/2*(COS(RADIANS(B147))+COS(RADIANS(B148)))*(IF(ACOS(MIN(1,MAX(-1,COS(RADIANS(B148-B147))-SIN(RADIANS(B147))*SIN(RADIANS(B148))*(1-COS(RADIANS(C148-C147))))))=0,1,2/(ACOS(MIN(1,MAX(-1,COS(RADIANS(B148-B147))-SIN(RADIANS(B147))*SIN(RADIANS(B148))*(1-COS(RADIANS(C148-C147)))))))*TAN((ACOS(MIN(1,MAX(-1,COS(RADIANS(B148-B147))-SIN(RADIANS(B147))*SIN(RADIANS(B148))*(1-COS(RADIANS(C148-C147)))))))/2)))</f>
        <v>10032.7186897471</v>
      </c>
      <c r="E148" s="24" t="n">
        <f aca="false">E147+(A148-A147)/2*(SIN(RADIANS(B147))*COS(RADIANS(C147))+SIN(RADIANS(B148))*COS(RADIANS(C148)))*(IF(ACOS(MIN(1,MAX(-1,COS(RADIANS(B148-B147))-SIN(RADIANS(B147))*SIN(RADIANS(B148))*(1-COS(RADIANS(C148-C147))))))=0,1,2/(ACOS(MIN(1,MAX(-1,COS(RADIANS(B148-B147))-SIN(RADIANS(B147))*SIN(RADIANS(B148))*(1-COS(RADIANS(C148-C147)))))))*TAN((ACOS(MIN(1,MAX(-1,COS(RADIANS(B148-B147))-SIN(RADIANS(B147))*SIN(RADIANS(B148))*(1-COS(RADIANS(C148-C147)))))))/2)))</f>
        <v>-4135.83607296731</v>
      </c>
      <c r="F148" s="24" t="n">
        <f aca="false">F147+(A148-A147)/2*(SIN(RADIANS(B147))*SIN(RADIANS(C147))+SIN(RADIANS(B148))*SIN(RADIANS(C148)))*(IF(ACOS(MIN(1,MAX(-1,COS(RADIANS(B148-B147))-SIN(RADIANS(B147))*SIN(RADIANS(B148))*(1-COS(RADIANS(C148-C147))))))=0,1,2/(ACOS(MIN(1,MAX(-1,COS(RADIANS(B148-B147))-SIN(RADIANS(B147))*SIN(RADIANS(B148))*(1-COS(RADIANS(C148-C147)))))))*TAN((ACOS(MIN(1,MAX(-1,COS(RADIANS(B148-B147))-SIN(RADIANS(B147))*SIN(RADIANS(B148))*(1-COS(RADIANS(C148-C147)))))))/2)))</f>
        <v>2963.04799846078</v>
      </c>
      <c r="G148" s="24" t="n">
        <f aca="false">IF(H148=0,0,DEGREES(ACOS(MIN(1,MAX(-1,COS(RADIANS(B148-B147))-SIN(RADIANS(B147))*SIN(RADIANS(B148))*(1-COS(RADIANS(C148-C147)))))))*100/H148)</f>
        <v>0.440590151686114</v>
      </c>
      <c r="H148" s="24" t="n">
        <f aca="false">A148-A147</f>
        <v>93</v>
      </c>
      <c r="I148" s="24" t="n">
        <f aca="false">J148*COS(RADIANS(K148-Well_Data!$B$68))</f>
        <v>5087.59758430947</v>
      </c>
      <c r="J148" s="24" t="n">
        <f aca="false">SQRT(E148^2+F148^2)</f>
        <v>5087.71004123074</v>
      </c>
      <c r="K148" s="24" t="n">
        <f aca="false">IF(J148=0,0,MOD(DEGREES(ATAN2(E148,F148)),360))</f>
        <v>144.380952079861</v>
      </c>
    </row>
    <row r="149" customFormat="false" ht="15" hidden="false" customHeight="true" outlineLevel="0" collapsed="false">
      <c r="A149" s="20" t="n">
        <v>11677</v>
      </c>
      <c r="B149" s="20" t="n">
        <v>34.58</v>
      </c>
      <c r="C149" s="20" t="n">
        <v>145.65</v>
      </c>
      <c r="D149" s="24" t="n">
        <f aca="false">D148+(A149-A148)/2*(COS(RADIANS(B148))+COS(RADIANS(B149)))*(IF(ACOS(MIN(1,MAX(-1,COS(RADIANS(B149-B148))-SIN(RADIANS(B148))*SIN(RADIANS(B149))*(1-COS(RADIANS(C149-C148))))))=0,1,2/(ACOS(MIN(1,MAX(-1,COS(RADIANS(B149-B148))-SIN(RADIANS(B148))*SIN(RADIANS(B149))*(1-COS(RADIANS(C149-C148)))))))*TAN((ACOS(MIN(1,MAX(-1,COS(RADIANS(B149-B148))-SIN(RADIANS(B148))*SIN(RADIANS(B149))*(1-COS(RADIANS(C149-C148)))))))/2)))</f>
        <v>10109.1919283047</v>
      </c>
      <c r="E149" s="24" t="n">
        <f aca="false">E148+(A149-A148)/2*(SIN(RADIANS(B148))*COS(RADIANS(C148))+SIN(RADIANS(B149))*COS(RADIANS(C149)))*(IF(ACOS(MIN(1,MAX(-1,COS(RADIANS(B149-B148))-SIN(RADIANS(B148))*SIN(RADIANS(B149))*(1-COS(RADIANS(C149-C148))))))=0,1,2/(ACOS(MIN(1,MAX(-1,COS(RADIANS(B149-B148))-SIN(RADIANS(B148))*SIN(RADIANS(B149))*(1-COS(RADIANS(C149-C148)))))))*TAN((ACOS(MIN(1,MAX(-1,COS(RADIANS(B149-B148))-SIN(RADIANS(B148))*SIN(RADIANS(B149))*(1-COS(RADIANS(C149-C148)))))))/2)))</f>
        <v>-4179.4745865408</v>
      </c>
      <c r="F149" s="24" t="n">
        <f aca="false">F148+(A149-A148)/2*(SIN(RADIANS(B148))*SIN(RADIANS(C148))+SIN(RADIANS(B149))*SIN(RADIANS(C149)))*(IF(ACOS(MIN(1,MAX(-1,COS(RADIANS(B149-B148))-SIN(RADIANS(B148))*SIN(RADIANS(B149))*(1-COS(RADIANS(C149-C148))))))=0,1,2/(ACOS(MIN(1,MAX(-1,COS(RADIANS(B149-B148))-SIN(RADIANS(B148))*SIN(RADIANS(B149))*(1-COS(RADIANS(C149-C148)))))))*TAN((ACOS(MIN(1,MAX(-1,COS(RADIANS(B149-B148))-SIN(RADIANS(B148))*SIN(RADIANS(B149))*(1-COS(RADIANS(C149-C148)))))))/2)))</f>
        <v>2992.9897936623</v>
      </c>
      <c r="G149" s="24" t="n">
        <f aca="false">IF(H149=0,0,DEGREES(ACOS(MIN(1,MAX(-1,COS(RADIANS(B149-B148))-SIN(RADIANS(B148))*SIN(RADIANS(B149))*(1-COS(RADIANS(C149-C148)))))))*100/H149)</f>
        <v>0.259808085377574</v>
      </c>
      <c r="H149" s="24" t="n">
        <f aca="false">A149-A148</f>
        <v>93</v>
      </c>
      <c r="I149" s="24" t="n">
        <f aca="false">J149*COS(RADIANS(K149-Well_Data!$B$68))</f>
        <v>5140.5012290463</v>
      </c>
      <c r="J149" s="24" t="n">
        <f aca="false">SQRT(E149^2+F149^2)</f>
        <v>5140.62211454091</v>
      </c>
      <c r="K149" s="24" t="n">
        <f aca="false">IF(J149=0,0,MOD(DEGREES(ATAN2(E149,F149)),360))</f>
        <v>144.392932306097</v>
      </c>
    </row>
    <row r="150" customFormat="false" ht="15" hidden="false" customHeight="true" outlineLevel="0" collapsed="false">
      <c r="A150" s="20" t="n">
        <v>11770</v>
      </c>
      <c r="B150" s="20" t="n">
        <v>34.92</v>
      </c>
      <c r="C150" s="20" t="n">
        <v>145.76</v>
      </c>
      <c r="D150" s="24" t="n">
        <f aca="false">D149+(A150-A149)/2*(COS(RADIANS(B149))+COS(RADIANS(B150)))*(IF(ACOS(MIN(1,MAX(-1,COS(RADIANS(B150-B149))-SIN(RADIANS(B149))*SIN(RADIANS(B150))*(1-COS(RADIANS(C150-C149))))))=0,1,2/(ACOS(MIN(1,MAX(-1,COS(RADIANS(B150-B149))-SIN(RADIANS(B149))*SIN(RADIANS(B150))*(1-COS(RADIANS(C150-C149)))))))*TAN((ACOS(MIN(1,MAX(-1,COS(RADIANS(B150-B149))-SIN(RADIANS(B149))*SIN(RADIANS(B150))*(1-COS(RADIANS(C150-C149)))))))/2)))</f>
        <v>10185.6049890423</v>
      </c>
      <c r="E150" s="24" t="n">
        <f aca="false">E149+(A150-A149)/2*(SIN(RADIANS(B149))*COS(RADIANS(C149))+SIN(RADIANS(B150))*COS(RADIANS(C150)))*(IF(ACOS(MIN(1,MAX(-1,COS(RADIANS(B150-B149))-SIN(RADIANS(B149))*SIN(RADIANS(B150))*(1-COS(RADIANS(C150-C149))))))=0,1,2/(ACOS(MIN(1,MAX(-1,COS(RADIANS(B150-B149))-SIN(RADIANS(B149))*SIN(RADIANS(B150))*(1-COS(RADIANS(C150-C149)))))))*TAN((ACOS(MIN(1,MAX(-1,COS(RADIANS(B150-B149))-SIN(RADIANS(B149))*SIN(RADIANS(B150))*(1-COS(RADIANS(C150-C149)))))))/2)))</f>
        <v>-4223.26845766484</v>
      </c>
      <c r="F150" s="24" t="n">
        <f aca="false">F149+(A150-A149)/2*(SIN(RADIANS(B149))*SIN(RADIANS(C149))+SIN(RADIANS(B150))*SIN(RADIANS(C150)))*(IF(ACOS(MIN(1,MAX(-1,COS(RADIANS(B150-B149))-SIN(RADIANS(B149))*SIN(RADIANS(B150))*(1-COS(RADIANS(C150-C149))))))=0,1,2/(ACOS(MIN(1,MAX(-1,COS(RADIANS(B150-B149))-SIN(RADIANS(B149))*SIN(RADIANS(B150))*(1-COS(RADIANS(C150-C149)))))))*TAN((ACOS(MIN(1,MAX(-1,COS(RADIANS(B150-B149))-SIN(RADIANS(B149))*SIN(RADIANS(B150))*(1-COS(RADIANS(C150-C149)))))))/2)))</f>
        <v>3022.85808382578</v>
      </c>
      <c r="G150" s="24" t="n">
        <f aca="false">IF(H150=0,0,DEGREES(ACOS(MIN(1,MAX(-1,COS(RADIANS(B150-B149))-SIN(RADIANS(B149))*SIN(RADIANS(B150))*(1-COS(RADIANS(C150-C149)))))))*100/H150)</f>
        <v>0.371755686613492</v>
      </c>
      <c r="H150" s="24" t="n">
        <f aca="false">A150-A149</f>
        <v>93</v>
      </c>
      <c r="I150" s="24" t="n">
        <f aca="false">J150*COS(RADIANS(K150-Well_Data!$B$68))</f>
        <v>5193.48735550441</v>
      </c>
      <c r="J150" s="24" t="n">
        <f aca="false">SQRT(E150^2+F150^2)</f>
        <v>5193.61795480353</v>
      </c>
      <c r="K150" s="24" t="n">
        <f aca="false">IF(J150=0,0,MOD(DEGREES(ATAN2(E150,F150)),360))</f>
        <v>144.406325392616</v>
      </c>
    </row>
    <row r="151" customFormat="false" ht="15" hidden="false" customHeight="true" outlineLevel="0" collapsed="false">
      <c r="A151" s="20" t="n">
        <v>11863</v>
      </c>
      <c r="B151" s="20" t="n">
        <v>34.43</v>
      </c>
      <c r="C151" s="20" t="n">
        <v>145.63</v>
      </c>
      <c r="D151" s="24" t="n">
        <f aca="false">D150+(A151-A150)/2*(COS(RADIANS(B150))+COS(RADIANS(B151)))*(IF(ACOS(MIN(1,MAX(-1,COS(RADIANS(B151-B150))-SIN(RADIANS(B150))*SIN(RADIANS(B151))*(1-COS(RADIANS(C151-C150))))))=0,1,2/(ACOS(MIN(1,MAX(-1,COS(RADIANS(B151-B150))-SIN(RADIANS(B150))*SIN(RADIANS(B151))*(1-COS(RADIANS(C151-C150)))))))*TAN((ACOS(MIN(1,MAX(-1,COS(RADIANS(B151-B150))-SIN(RADIANS(B150))*SIN(RADIANS(B151))*(1-COS(RADIANS(C151-C150)))))))/2)))</f>
        <v>10262.0872558626</v>
      </c>
      <c r="E151" s="24" t="n">
        <f aca="false">E150+(A151-A150)/2*(SIN(RADIANS(B150))*COS(RADIANS(C150))+SIN(RADIANS(B151))*COS(RADIANS(C151)))*(IF(ACOS(MIN(1,MAX(-1,COS(RADIANS(B151-B150))-SIN(RADIANS(B150))*SIN(RADIANS(B151))*(1-COS(RADIANS(C151-C150))))))=0,1,2/(ACOS(MIN(1,MAX(-1,COS(RADIANS(B151-B150))-SIN(RADIANS(B150))*SIN(RADIANS(B151))*(1-COS(RADIANS(C151-C150)))))))*TAN((ACOS(MIN(1,MAX(-1,COS(RADIANS(B151-B150))-SIN(RADIANS(B150))*SIN(RADIANS(B151))*(1-COS(RADIANS(C151-C150)))))))/2)))</f>
        <v>-4266.97446365008</v>
      </c>
      <c r="F151" s="24" t="n">
        <f aca="false">F150+(A151-A150)/2*(SIN(RADIANS(B150))*SIN(RADIANS(C150))+SIN(RADIANS(B151))*SIN(RADIANS(C151)))*(IF(ACOS(MIN(1,MAX(-1,COS(RADIANS(B151-B150))-SIN(RADIANS(B150))*SIN(RADIANS(B151))*(1-COS(RADIANS(C151-C150))))))=0,1,2/(ACOS(MIN(1,MAX(-1,COS(RADIANS(B151-B150))-SIN(RADIANS(B150))*SIN(RADIANS(B151))*(1-COS(RADIANS(C151-C150)))))))*TAN((ACOS(MIN(1,MAX(-1,COS(RADIANS(B151-B150))-SIN(RADIANS(B150))*SIN(RADIANS(B151))*(1-COS(RADIANS(C151-C150)))))))/2)))</f>
        <v>3052.67743974439</v>
      </c>
      <c r="G151" s="24" t="n">
        <f aca="false">IF(H151=0,0,DEGREES(ACOS(MIN(1,MAX(-1,COS(RADIANS(B151-B150))-SIN(RADIANS(B150))*SIN(RADIANS(B151))*(1-COS(RADIANS(C151-C150)))))))*100/H151)</f>
        <v>0.532849451803751</v>
      </c>
      <c r="H151" s="24" t="n">
        <f aca="false">A151-A150</f>
        <v>93</v>
      </c>
      <c r="I151" s="24" t="n">
        <f aca="false">J151*COS(RADIANS(K151-Well_Data!$B$68))</f>
        <v>5246.37363474454</v>
      </c>
      <c r="J151" s="24" t="n">
        <f aca="false">SQRT(E151^2+F151^2)</f>
        <v>5246.51414031891</v>
      </c>
      <c r="K151" s="24" t="n">
        <f aca="false">IF(J151=0,0,MOD(DEGREES(ATAN2(E151,F151)),360))</f>
        <v>144.419324224957</v>
      </c>
    </row>
    <row r="152" customFormat="false" ht="15" hidden="false" customHeight="true" outlineLevel="0" collapsed="false">
      <c r="A152" s="20" t="n">
        <v>11956</v>
      </c>
      <c r="B152" s="20" t="n">
        <v>34.38</v>
      </c>
      <c r="C152" s="20" t="n">
        <v>145.85</v>
      </c>
      <c r="D152" s="24" t="n">
        <f aca="false">D151+(A152-A151)/2*(COS(RADIANS(B151))+COS(RADIANS(B152)))*(IF(ACOS(MIN(1,MAX(-1,COS(RADIANS(B152-B151))-SIN(RADIANS(B151))*SIN(RADIANS(B152))*(1-COS(RADIANS(C152-C151))))))=0,1,2/(ACOS(MIN(1,MAX(-1,COS(RADIANS(B152-B151))-SIN(RADIANS(B151))*SIN(RADIANS(B152))*(1-COS(RADIANS(C152-C151)))))))*TAN((ACOS(MIN(1,MAX(-1,COS(RADIANS(B152-B151))-SIN(RADIANS(B151))*SIN(RADIANS(B152))*(1-COS(RADIANS(C152-C151)))))))/2)))</f>
        <v>10338.8182534257</v>
      </c>
      <c r="E152" s="24" t="n">
        <f aca="false">E151+(A152-A151)/2*(SIN(RADIANS(B151))*COS(RADIANS(C151))+SIN(RADIANS(B152))*COS(RADIANS(C152)))*(IF(ACOS(MIN(1,MAX(-1,COS(RADIANS(B152-B151))-SIN(RADIANS(B151))*SIN(RADIANS(B152))*(1-COS(RADIANS(C152-C151))))))=0,1,2/(ACOS(MIN(1,MAX(-1,COS(RADIANS(B152-B151))-SIN(RADIANS(B151))*SIN(RADIANS(B152))*(1-COS(RADIANS(C152-C151)))))))*TAN((ACOS(MIN(1,MAX(-1,COS(RADIANS(B152-B151))-SIN(RADIANS(B151))*SIN(RADIANS(B152))*(1-COS(RADIANS(C152-C151)))))))/2)))</f>
        <v>-4310.40535754614</v>
      </c>
      <c r="F152" s="24" t="n">
        <f aca="false">F151+(A152-A151)/2*(SIN(RADIANS(B151))*SIN(RADIANS(C151))+SIN(RADIANS(B152))*SIN(RADIANS(C152)))*(IF(ACOS(MIN(1,MAX(-1,COS(RADIANS(B152-B151))-SIN(RADIANS(B151))*SIN(RADIANS(B152))*(1-COS(RADIANS(C152-C151))))))=0,1,2/(ACOS(MIN(1,MAX(-1,COS(RADIANS(B152-B151))-SIN(RADIANS(B151))*SIN(RADIANS(B152))*(1-COS(RADIANS(C152-C151)))))))*TAN((ACOS(MIN(1,MAX(-1,COS(RADIANS(B152-B151))-SIN(RADIANS(B151))*SIN(RADIANS(B152))*(1-COS(RADIANS(C152-C151)))))))/2)))</f>
        <v>3082.25965613906</v>
      </c>
      <c r="G152" s="24" t="n">
        <f aca="false">IF(H152=0,0,DEGREES(ACOS(MIN(1,MAX(-1,COS(RADIANS(B152-B151))-SIN(RADIANS(B151))*SIN(RADIANS(B152))*(1-COS(RADIANS(C152-C151)))))))*100/H152)</f>
        <v>0.14407239228149</v>
      </c>
      <c r="H152" s="24" t="n">
        <f aca="false">A152-A151</f>
        <v>93</v>
      </c>
      <c r="I152" s="24" t="n">
        <f aca="false">J152*COS(RADIANS(K152-Well_Data!$B$68))</f>
        <v>5298.89795651426</v>
      </c>
      <c r="J152" s="24" t="n">
        <f aca="false">SQRT(E152^2+F152^2)</f>
        <v>5299.04887071491</v>
      </c>
      <c r="K152" s="24" t="n">
        <f aca="false">IF(J152=0,0,MOD(DEGREES(ATAN2(E152,F152)),360))</f>
        <v>144.432418984362</v>
      </c>
    </row>
    <row r="153" customFormat="false" ht="15" hidden="false" customHeight="true" outlineLevel="0" collapsed="false">
      <c r="A153" s="20" t="n">
        <v>12049</v>
      </c>
      <c r="B153" s="20" t="n">
        <v>34.77</v>
      </c>
      <c r="C153" s="20" t="n">
        <v>145.58</v>
      </c>
      <c r="D153" s="24" t="n">
        <f aca="false">D152+(A153-A152)/2*(COS(RADIANS(B152))+COS(RADIANS(B153)))*(IF(ACOS(MIN(1,MAX(-1,COS(RADIANS(B153-B152))-SIN(RADIANS(B152))*SIN(RADIANS(B153))*(1-COS(RADIANS(C153-C152))))))=0,1,2/(ACOS(MIN(1,MAX(-1,COS(RADIANS(B153-B152))-SIN(RADIANS(B152))*SIN(RADIANS(B153))*(1-COS(RADIANS(C153-C152)))))))*TAN((ACOS(MIN(1,MAX(-1,COS(RADIANS(B153-B152))-SIN(RADIANS(B152))*SIN(RADIANS(B153))*(1-COS(RADIANS(C153-C152)))))))/2)))</f>
        <v>10415.392868694</v>
      </c>
      <c r="E153" s="24" t="n">
        <f aca="false">E152+(A153-A152)/2*(SIN(RADIANS(B152))*COS(RADIANS(C152))+SIN(RADIANS(B153))*COS(RADIANS(C153)))*(IF(ACOS(MIN(1,MAX(-1,COS(RADIANS(B153-B152))-SIN(RADIANS(B152))*SIN(RADIANS(B153))*(1-COS(RADIANS(C153-C152))))))=0,1,2/(ACOS(MIN(1,MAX(-1,COS(RADIANS(B153-B152))-SIN(RADIANS(B152))*SIN(RADIANS(B153))*(1-COS(RADIANS(C153-C152)))))))*TAN((ACOS(MIN(1,MAX(-1,COS(RADIANS(B153-B152))-SIN(RADIANS(B152))*SIN(RADIANS(B153))*(1-COS(RADIANS(C153-C152)))))))/2)))</f>
        <v>-4354.01083122535</v>
      </c>
      <c r="F153" s="24" t="n">
        <f aca="false">F152+(A153-A152)/2*(SIN(RADIANS(B152))*SIN(RADIANS(C152))+SIN(RADIANS(B153))*SIN(RADIANS(C153)))*(IF(ACOS(MIN(1,MAX(-1,COS(RADIANS(B153-B152))-SIN(RADIANS(B152))*SIN(RADIANS(B153))*(1-COS(RADIANS(C153-C152))))))=0,1,2/(ACOS(MIN(1,MAX(-1,COS(RADIANS(B153-B152))-SIN(RADIANS(B152))*SIN(RADIANS(B153))*(1-COS(RADIANS(C153-C152)))))))*TAN((ACOS(MIN(1,MAX(-1,COS(RADIANS(B153-B152))-SIN(RADIANS(B152))*SIN(RADIANS(B153))*(1-COS(RADIANS(C153-C152)))))))/2)))</f>
        <v>3111.98931159565</v>
      </c>
      <c r="G153" s="24" t="n">
        <f aca="false">IF(H153=0,0,DEGREES(ACOS(MIN(1,MAX(-1,COS(RADIANS(B153-B152))-SIN(RADIANS(B152))*SIN(RADIANS(B153))*(1-COS(RADIANS(C153-C152)))))))*100/H153)</f>
        <v>0.45055678874619</v>
      </c>
      <c r="H153" s="24" t="n">
        <f aca="false">A153-A152</f>
        <v>93</v>
      </c>
      <c r="I153" s="24" t="n">
        <f aca="false">J153*COS(RADIANS(K153-Well_Data!$B$68))</f>
        <v>5351.65017880163</v>
      </c>
      <c r="J153" s="24" t="n">
        <f aca="false">SQRT(E153^2+F153^2)</f>
        <v>5351.81163662486</v>
      </c>
      <c r="K153" s="24" t="n">
        <f aca="false">IF(J153=0,0,MOD(DEGREES(ATAN2(E153,F153)),360))</f>
        <v>144.445059277791</v>
      </c>
    </row>
    <row r="154" customFormat="false" ht="15" hidden="false" customHeight="true" outlineLevel="0" collapsed="false">
      <c r="A154" s="20" t="n">
        <v>12142</v>
      </c>
      <c r="B154" s="20" t="n">
        <v>34.8</v>
      </c>
      <c r="C154" s="20" t="n">
        <v>146.06</v>
      </c>
      <c r="D154" s="24" t="n">
        <f aca="false">D153+(A154-A153)/2*(COS(RADIANS(B153))+COS(RADIANS(B154)))*(IF(ACOS(MIN(1,MAX(-1,COS(RADIANS(B154-B153))-SIN(RADIANS(B153))*SIN(RADIANS(B154))*(1-COS(RADIANS(C154-C153))))))=0,1,2/(ACOS(MIN(1,MAX(-1,COS(RADIANS(B154-B153))-SIN(RADIANS(B153))*SIN(RADIANS(B154))*(1-COS(RADIANS(C154-C153)))))))*TAN((ACOS(MIN(1,MAX(-1,COS(RADIANS(B154-B153))-SIN(RADIANS(B153))*SIN(RADIANS(B154))*(1-COS(RADIANS(C154-C153)))))))/2)))</f>
        <v>10491.7737824073</v>
      </c>
      <c r="E154" s="24" t="n">
        <f aca="false">E153+(A154-A153)/2*(SIN(RADIANS(B153))*COS(RADIANS(C153))+SIN(RADIANS(B154))*COS(RADIANS(C154)))*(IF(ACOS(MIN(1,MAX(-1,COS(RADIANS(B154-B153))-SIN(RADIANS(B153))*SIN(RADIANS(B154))*(1-COS(RADIANS(C154-C153))))))=0,1,2/(ACOS(MIN(1,MAX(-1,COS(RADIANS(B154-B153))-SIN(RADIANS(B153))*SIN(RADIANS(B154))*(1-COS(RADIANS(C154-C153)))))))*TAN((ACOS(MIN(1,MAX(-1,COS(RADIANS(B154-B153))-SIN(RADIANS(B153))*SIN(RADIANS(B154))*(1-COS(RADIANS(C154-C153)))))))/2)))</f>
        <v>-4397.90287410039</v>
      </c>
      <c r="F154" s="24" t="n">
        <f aca="false">F153+(A154-A153)/2*(SIN(RADIANS(B153))*SIN(RADIANS(C153))+SIN(RADIANS(B154))*SIN(RADIANS(C154)))*(IF(ACOS(MIN(1,MAX(-1,COS(RADIANS(B154-B153))-SIN(RADIANS(B153))*SIN(RADIANS(B154))*(1-COS(RADIANS(C154-C153))))))=0,1,2/(ACOS(MIN(1,MAX(-1,COS(RADIANS(B154-B153))-SIN(RADIANS(B153))*SIN(RADIANS(B154))*(1-COS(RADIANS(C154-C153)))))))*TAN((ACOS(MIN(1,MAX(-1,COS(RADIANS(B154-B153))-SIN(RADIANS(B153))*SIN(RADIANS(B154))*(1-COS(RADIANS(C154-C153)))))))/2)))</f>
        <v>3141.795819798</v>
      </c>
      <c r="G154" s="24" t="n">
        <f aca="false">IF(H154=0,0,DEGREES(ACOS(MIN(1,MAX(-1,COS(RADIANS(B154-B153))-SIN(RADIANS(B153))*SIN(RADIANS(B154))*(1-COS(RADIANS(C154-C153)))))))*100/H154)</f>
        <v>0.296211992692794</v>
      </c>
      <c r="H154" s="24" t="n">
        <f aca="false">A154-A153</f>
        <v>93</v>
      </c>
      <c r="I154" s="24" t="n">
        <f aca="false">J154*COS(RADIANS(K154-Well_Data!$B$68))</f>
        <v>5404.67941334905</v>
      </c>
      <c r="J154" s="24" t="n">
        <f aca="false">SQRT(E154^2+F154^2)</f>
        <v>5404.85251078331</v>
      </c>
      <c r="K154" s="24" t="n">
        <f aca="false">IF(J154=0,0,MOD(DEGREES(ATAN2(E154,F154)),360))</f>
        <v>144.458555789464</v>
      </c>
    </row>
    <row r="155" customFormat="false" ht="15" hidden="false" customHeight="true" outlineLevel="0" collapsed="false">
      <c r="A155" s="20" t="n">
        <v>12235</v>
      </c>
      <c r="B155" s="20" t="n">
        <v>34.73</v>
      </c>
      <c r="C155" s="20" t="n">
        <v>145.74</v>
      </c>
      <c r="D155" s="24" t="n">
        <f aca="false">D154+(A155-A154)/2*(COS(RADIANS(B154))+COS(RADIANS(B155)))*(IF(ACOS(MIN(1,MAX(-1,COS(RADIANS(B155-B154))-SIN(RADIANS(B154))*SIN(RADIANS(B155))*(1-COS(RADIANS(C155-C154))))))=0,1,2/(ACOS(MIN(1,MAX(-1,COS(RADIANS(B155-B154))-SIN(RADIANS(B154))*SIN(RADIANS(B155))*(1-COS(RADIANS(C155-C154)))))))*TAN((ACOS(MIN(1,MAX(-1,COS(RADIANS(B155-B154))-SIN(RADIANS(B154))*SIN(RADIANS(B155))*(1-COS(RADIANS(C155-C154)))))))/2)))</f>
        <v>10568.1731269298</v>
      </c>
      <c r="E155" s="24" t="n">
        <f aca="false">E154+(A155-A154)/2*(SIN(RADIANS(B154))*COS(RADIANS(C154))+SIN(RADIANS(B155))*COS(RADIANS(C155)))*(IF(ACOS(MIN(1,MAX(-1,COS(RADIANS(B155-B154))-SIN(RADIANS(B154))*SIN(RADIANS(B155))*(1-COS(RADIANS(C155-C154))))))=0,1,2/(ACOS(MIN(1,MAX(-1,COS(RADIANS(B155-B154))-SIN(RADIANS(B154))*SIN(RADIANS(B155))*(1-COS(RADIANS(C155-C154)))))))*TAN((ACOS(MIN(1,MAX(-1,COS(RADIANS(B155-B154))-SIN(RADIANS(B154))*SIN(RADIANS(B155))*(1-COS(RADIANS(C155-C154)))))))/2)))</f>
        <v>-4441.81460313511</v>
      </c>
      <c r="F155" s="24" t="n">
        <f aca="false">F154+(A155-A154)/2*(SIN(RADIANS(B154))*SIN(RADIANS(C154))+SIN(RADIANS(B155))*SIN(RADIANS(C155)))*(IF(ACOS(MIN(1,MAX(-1,COS(RADIANS(B155-B154))-SIN(RADIANS(B154))*SIN(RADIANS(B155))*(1-COS(RADIANS(C155-C154))))))=0,1,2/(ACOS(MIN(1,MAX(-1,COS(RADIANS(B155-B154))-SIN(RADIANS(B154))*SIN(RADIANS(B155))*(1-COS(RADIANS(C155-C154)))))))*TAN((ACOS(MIN(1,MAX(-1,COS(RADIANS(B155-B154))-SIN(RADIANS(B154))*SIN(RADIANS(B155))*(1-COS(RADIANS(C155-C154)))))))/2)))</f>
        <v>3171.52613806103</v>
      </c>
      <c r="G155" s="24" t="n">
        <f aca="false">IF(H155=0,0,DEGREES(ACOS(MIN(1,MAX(-1,COS(RADIANS(B155-B154))-SIN(RADIANS(B154))*SIN(RADIANS(B155))*(1-COS(RADIANS(C155-C154)))))))*100/H155)</f>
        <v>0.210143971564729</v>
      </c>
      <c r="H155" s="24" t="n">
        <f aca="false">A155-A154</f>
        <v>93</v>
      </c>
      <c r="I155" s="24" t="n">
        <f aca="false">J155*COS(RADIANS(K155-Well_Data!$B$68))</f>
        <v>5457.67979101149</v>
      </c>
      <c r="J155" s="24" t="n">
        <f aca="false">SQRT(E155^2+F155^2)</f>
        <v>5457.86542643079</v>
      </c>
      <c r="K155" s="24" t="n">
        <f aca="false">IF(J155=0,0,MOD(DEGREES(ATAN2(E155,F155)),360))</f>
        <v>144.472560993928</v>
      </c>
    </row>
    <row r="156" customFormat="false" ht="15" hidden="false" customHeight="true" outlineLevel="0" collapsed="false">
      <c r="A156" s="20" t="n">
        <v>12328</v>
      </c>
      <c r="B156" s="20" t="n">
        <v>34.38</v>
      </c>
      <c r="C156" s="20" t="n">
        <v>145.77</v>
      </c>
      <c r="D156" s="24" t="n">
        <f aca="false">D155+(A156-A155)/2*(COS(RADIANS(B155))+COS(RADIANS(B156)))*(IF(ACOS(MIN(1,MAX(-1,COS(RADIANS(B156-B155))-SIN(RADIANS(B155))*SIN(RADIANS(B156))*(1-COS(RADIANS(C156-C155))))))=0,1,2/(ACOS(MIN(1,MAX(-1,COS(RADIANS(B156-B155))-SIN(RADIANS(B155))*SIN(RADIANS(B156))*(1-COS(RADIANS(C156-C155)))))))*TAN((ACOS(MIN(1,MAX(-1,COS(RADIANS(B156-B155))-SIN(RADIANS(B155))*SIN(RADIANS(B156))*(1-COS(RADIANS(C156-C155)))))))/2)))</f>
        <v>10644.7661435228</v>
      </c>
      <c r="E156" s="24" t="n">
        <f aca="false">E155+(A156-A155)/2*(SIN(RADIANS(B155))*COS(RADIANS(C155))+SIN(RADIANS(B156))*COS(RADIANS(C156)))*(IF(ACOS(MIN(1,MAX(-1,COS(RADIANS(B156-B155))-SIN(RADIANS(B155))*SIN(RADIANS(B156))*(1-COS(RADIANS(C156-C155))))))=0,1,2/(ACOS(MIN(1,MAX(-1,COS(RADIANS(B156-B155))-SIN(RADIANS(B155))*SIN(RADIANS(B156))*(1-COS(RADIANS(C156-C155)))))))*TAN((ACOS(MIN(1,MAX(-1,COS(RADIANS(B156-B155))-SIN(RADIANS(B155))*SIN(RADIANS(B156))*(1-COS(RADIANS(C156-C155)))))))/2)))</f>
        <v>-4485.41914443985</v>
      </c>
      <c r="F156" s="24" t="n">
        <f aca="false">F155+(A156-A155)/2*(SIN(RADIANS(B155))*SIN(RADIANS(C155))+SIN(RADIANS(B156))*SIN(RADIANS(C156)))*(IF(ACOS(MIN(1,MAX(-1,COS(RADIANS(B156-B155))-SIN(RADIANS(B155))*SIN(RADIANS(B156))*(1-COS(RADIANS(C156-C155))))))=0,1,2/(ACOS(MIN(1,MAX(-1,COS(RADIANS(B156-B155))-SIN(RADIANS(B155))*SIN(RADIANS(B156))*(1-COS(RADIANS(C156-C155)))))))*TAN((ACOS(MIN(1,MAX(-1,COS(RADIANS(B156-B155))-SIN(RADIANS(B155))*SIN(RADIANS(B156))*(1-COS(RADIANS(C156-C155)))))))/2)))</f>
        <v>3201.20991861558</v>
      </c>
      <c r="G156" s="24" t="n">
        <f aca="false">IF(H156=0,0,DEGREES(ACOS(MIN(1,MAX(-1,COS(RADIANS(B156-B155))-SIN(RADIANS(B155))*SIN(RADIANS(B156))*(1-COS(RADIANS(C156-C155)))))))*100/H156)</f>
        <v>0.376788577257466</v>
      </c>
      <c r="H156" s="24" t="n">
        <f aca="false">A156-A155</f>
        <v>93</v>
      </c>
      <c r="I156" s="24" t="n">
        <f aca="false">J156*COS(RADIANS(K156-Well_Data!$B$68))</f>
        <v>5510.40429440121</v>
      </c>
      <c r="J156" s="24" t="n">
        <f aca="false">SQRT(E156^2+F156^2)</f>
        <v>5510.60158642868</v>
      </c>
      <c r="K156" s="24" t="n">
        <f aca="false">IF(J156=0,0,MOD(DEGREES(ATAN2(E156,F156)),360))</f>
        <v>144.484835249699</v>
      </c>
    </row>
    <row r="157" customFormat="false" ht="15" hidden="false" customHeight="true" outlineLevel="0" collapsed="false">
      <c r="A157" s="20" t="n">
        <v>12421</v>
      </c>
      <c r="B157" s="20" t="n">
        <v>34.39</v>
      </c>
      <c r="C157" s="20" t="n">
        <v>146.09</v>
      </c>
      <c r="D157" s="24" t="n">
        <f aca="false">D156+(A157-A156)/2*(COS(RADIANS(B156))+COS(RADIANS(B157)))*(IF(ACOS(MIN(1,MAX(-1,COS(RADIANS(B157-B156))-SIN(RADIANS(B156))*SIN(RADIANS(B157))*(1-COS(RADIANS(C157-C156))))))=0,1,2/(ACOS(MIN(1,MAX(-1,COS(RADIANS(B157-B156))-SIN(RADIANS(B156))*SIN(RADIANS(B157))*(1-COS(RADIANS(C157-C156)))))))*TAN((ACOS(MIN(1,MAX(-1,COS(RADIANS(B157-B156))-SIN(RADIANS(B156))*SIN(RADIANS(B157))*(1-COS(RADIANS(C157-C156)))))))/2)))</f>
        <v>10721.5155152108</v>
      </c>
      <c r="E157" s="24" t="n">
        <f aca="false">E156+(A157-A156)/2*(SIN(RADIANS(B156))*COS(RADIANS(C156))+SIN(RADIANS(B157))*COS(RADIANS(C157)))*(IF(ACOS(MIN(1,MAX(-1,COS(RADIANS(B157-B156))-SIN(RADIANS(B156))*SIN(RADIANS(B157))*(1-COS(RADIANS(C157-C156))))))=0,1,2/(ACOS(MIN(1,MAX(-1,COS(RADIANS(B157-B156))-SIN(RADIANS(B156))*SIN(RADIANS(B157))*(1-COS(RADIANS(C157-C156)))))))*TAN((ACOS(MIN(1,MAX(-1,COS(RADIANS(B157-B156))-SIN(RADIANS(B156))*SIN(RADIANS(B157))*(1-COS(RADIANS(C157-C156)))))))/2)))</f>
        <v>-4528.92568568147</v>
      </c>
      <c r="F157" s="24" t="n">
        <f aca="false">F156+(A157-A156)/2*(SIN(RADIANS(B156))*SIN(RADIANS(C156))+SIN(RADIANS(B157))*SIN(RADIANS(C157)))*(IF(ACOS(MIN(1,MAX(-1,COS(RADIANS(B157-B156))-SIN(RADIANS(B156))*SIN(RADIANS(B157))*(1-COS(RADIANS(C157-C156))))))=0,1,2/(ACOS(MIN(1,MAX(-1,COS(RADIANS(B157-B156))-SIN(RADIANS(B156))*SIN(RADIANS(B157))*(1-COS(RADIANS(C157-C156)))))))*TAN((ACOS(MIN(1,MAX(-1,COS(RADIANS(B157-B156))-SIN(RADIANS(B156))*SIN(RADIANS(B157))*(1-COS(RADIANS(C157-C156)))))))/2)))</f>
        <v>3230.63282843398</v>
      </c>
      <c r="G157" s="24" t="n">
        <f aca="false">IF(H157=0,0,DEGREES(ACOS(MIN(1,MAX(-1,COS(RADIANS(B157-B156))-SIN(RADIANS(B156))*SIN(RADIANS(B157))*(1-COS(RADIANS(C157-C156)))))))*100/H157)</f>
        <v>0.194620008703021</v>
      </c>
      <c r="H157" s="24" t="n">
        <f aca="false">A157-A156</f>
        <v>93</v>
      </c>
      <c r="I157" s="24" t="n">
        <f aca="false">J157*COS(RADIANS(K157-Well_Data!$B$68))</f>
        <v>5562.89617810293</v>
      </c>
      <c r="J157" s="24" t="n">
        <f aca="false">SQRT(E157^2+F157^2)</f>
        <v>5563.10671644727</v>
      </c>
      <c r="K157" s="24" t="n">
        <f aca="false">IF(J157=0,0,MOD(DEGREES(ATAN2(E157,F157)),360))</f>
        <v>144.498477897047</v>
      </c>
    </row>
    <row r="158" customFormat="false" ht="15" hidden="false" customHeight="true" outlineLevel="0" collapsed="false">
      <c r="A158" s="20" t="n">
        <v>12460</v>
      </c>
      <c r="B158" s="20" t="n">
        <v>34.62</v>
      </c>
      <c r="C158" s="20" t="n">
        <v>145.93</v>
      </c>
      <c r="D158" s="24" t="n">
        <f aca="false">D157+(A158-A157)/2*(COS(RADIANS(B157))+COS(RADIANS(B158)))*(IF(ACOS(MIN(1,MAX(-1,COS(RADIANS(B158-B157))-SIN(RADIANS(B157))*SIN(RADIANS(B158))*(1-COS(RADIANS(C158-C157))))))=0,1,2/(ACOS(MIN(1,MAX(-1,COS(RADIANS(B158-B157))-SIN(RADIANS(B157))*SIN(RADIANS(B158))*(1-COS(RADIANS(C158-C157)))))))*TAN((ACOS(MIN(1,MAX(-1,COS(RADIANS(B158-B157))-SIN(RADIANS(B157))*SIN(RADIANS(B158))*(1-COS(RADIANS(C158-C157)))))))/2)))</f>
        <v>10753.6544938653</v>
      </c>
      <c r="E158" s="24" t="n">
        <f aca="false">E157+(A158-A157)/2*(SIN(RADIANS(B157))*COS(RADIANS(C157))+SIN(RADIANS(B158))*COS(RADIANS(C158)))*(IF(ACOS(MIN(1,MAX(-1,COS(RADIANS(B158-B157))-SIN(RADIANS(B157))*SIN(RADIANS(B158))*(1-COS(RADIANS(C158-C157))))))=0,1,2/(ACOS(MIN(1,MAX(-1,COS(RADIANS(B158-B157))-SIN(RADIANS(B157))*SIN(RADIANS(B158))*(1-COS(RADIANS(C158-C157)))))))*TAN((ACOS(MIN(1,MAX(-1,COS(RADIANS(B158-B157))-SIN(RADIANS(B157))*SIN(RADIANS(B158))*(1-COS(RADIANS(C158-C157)))))))/2)))</f>
        <v>-4547.24340015656</v>
      </c>
      <c r="F158" s="24" t="n">
        <f aca="false">F157+(A158-A157)/2*(SIN(RADIANS(B157))*SIN(RADIANS(C157))+SIN(RADIANS(B158))*SIN(RADIANS(C158)))*(IF(ACOS(MIN(1,MAX(-1,COS(RADIANS(B158-B157))-SIN(RADIANS(B157))*SIN(RADIANS(B158))*(1-COS(RADIANS(C158-C157))))))=0,1,2/(ACOS(MIN(1,MAX(-1,COS(RADIANS(B158-B157))-SIN(RADIANS(B157))*SIN(RADIANS(B158))*(1-COS(RADIANS(C158-C157)))))))*TAN((ACOS(MIN(1,MAX(-1,COS(RADIANS(B158-B157))-SIN(RADIANS(B157))*SIN(RADIANS(B158))*(1-COS(RADIANS(C158-C157)))))))/2)))</f>
        <v>3242.98374045688</v>
      </c>
      <c r="G158" s="24" t="n">
        <f aca="false">IF(H158=0,0,DEGREES(ACOS(MIN(1,MAX(-1,COS(RADIANS(B158-B157))-SIN(RADIANS(B157))*SIN(RADIANS(B158))*(1-COS(RADIANS(C158-C157)))))))*100/H158)</f>
        <v>0.633882722685575</v>
      </c>
      <c r="H158" s="24" t="n">
        <f aca="false">A158-A157</f>
        <v>39</v>
      </c>
      <c r="I158" s="24" t="n">
        <f aca="false">J158*COS(RADIANS(K158-Well_Data!$B$68))</f>
        <v>5584.97520435081</v>
      </c>
      <c r="J158" s="24" t="n">
        <f aca="false">SQRT(E158^2+F158^2)</f>
        <v>5585.19167810157</v>
      </c>
      <c r="K158" s="24" t="n">
        <f aca="false">IF(J158=0,0,MOD(DEGREES(ATAN2(E158,F158)),360))</f>
        <v>144.504455211284</v>
      </c>
    </row>
    <row r="160" customFormat="false" ht="15" hidden="false" customHeight="true" outlineLevel="0" collapsed="false">
      <c r="A160" s="3" t="s">
        <v>196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38"/>
    <col collapsed="false" customWidth="true" hidden="false" outlineLevel="0" max="13" min="7" style="1" width="13"/>
  </cols>
  <sheetData>
    <row r="1" customFormat="false" ht="23.25" hidden="false" customHeight="true" outlineLevel="0" collapsed="false">
      <c r="A1" s="21" t="s">
        <v>111</v>
      </c>
      <c r="B1" s="21" t="s">
        <v>114</v>
      </c>
      <c r="C1" s="21" t="s">
        <v>116</v>
      </c>
      <c r="D1" s="21" t="s">
        <v>117</v>
      </c>
      <c r="E1" s="21" t="s">
        <v>122</v>
      </c>
      <c r="F1" s="21" t="s">
        <v>123</v>
      </c>
      <c r="G1" s="21" t="s">
        <v>197</v>
      </c>
      <c r="H1" s="21" t="s">
        <v>198</v>
      </c>
      <c r="I1" s="21" t="s">
        <v>199</v>
      </c>
      <c r="J1" s="21" t="s">
        <v>200</v>
      </c>
      <c r="K1" s="21" t="s">
        <v>201</v>
      </c>
      <c r="L1" s="21" t="s">
        <v>202</v>
      </c>
      <c r="M1" s="21" t="s">
        <v>203</v>
      </c>
    </row>
    <row r="2" customFormat="false" ht="15" hidden="false" customHeight="true" outlineLevel="0" collapsed="false">
      <c r="A2" s="19" t="n">
        <f aca="false">Pipe_Tally!A2</f>
        <v>1</v>
      </c>
      <c r="B2" s="19" t="str">
        <f aca="false">Pipe_Tally!D2</f>
        <v>8-1/2in PDC bit, 5x13 nozzles</v>
      </c>
      <c r="C2" s="26" t="n">
        <f aca="false">Pipe_Tally!F2</f>
        <v>8.5</v>
      </c>
      <c r="D2" s="26" t="n">
        <f aca="false">Pipe_Tally!G2</f>
        <v>3</v>
      </c>
      <c r="E2" s="24" t="n">
        <f aca="false">Pipe_Tally!L2</f>
        <v>12498.98</v>
      </c>
      <c r="F2" s="24" t="n">
        <f aca="false">Pipe_Tally!M2</f>
        <v>12500</v>
      </c>
      <c r="G2" s="24" t="n">
        <f aca="false">MAX(0,MIN(F2,Well_Data!$B$10)-MAX(E2,Well_Data!$B$23))</f>
        <v>1.02000000000044</v>
      </c>
      <c r="H2" s="26" t="n">
        <f aca="false">G2*(Well_Data!$B$26^2-C2^2)/1029.4</f>
        <v>0</v>
      </c>
      <c r="I2" s="24" t="n">
        <f aca="false">MAX(0,MIN(F2,Well_Data!$B$23)-E2)</f>
        <v>0</v>
      </c>
      <c r="J2" s="26" t="n">
        <f aca="false">I2*(Well_Data!$B$25^2-C2^2)/1029.4</f>
        <v>0</v>
      </c>
      <c r="K2" s="25" t="n">
        <f aca="false">D2^2/1029.4</f>
        <v>0.00874295706236643</v>
      </c>
      <c r="L2" s="24" t="n">
        <f aca="false">F2-E2</f>
        <v>1.02000000000044</v>
      </c>
      <c r="M2" s="26" t="n">
        <f aca="false">K2*L2</f>
        <v>0.00891781620361757</v>
      </c>
    </row>
    <row r="3" customFormat="false" ht="15" hidden="false" customHeight="true" outlineLevel="0" collapsed="false">
      <c r="A3" s="19" t="n">
        <f aca="false">Pipe_Tally!A3</f>
        <v>2</v>
      </c>
      <c r="B3" s="19" t="str">
        <f aca="false">Pipe_Tally!D3</f>
        <v>6-3/4in PD motor, 1.5 deg bent hsg</v>
      </c>
      <c r="C3" s="26" t="n">
        <f aca="false">Pipe_Tally!F3</f>
        <v>6.75</v>
      </c>
      <c r="D3" s="26" t="n">
        <f aca="false">Pipe_Tally!G3</f>
        <v>3</v>
      </c>
      <c r="E3" s="24" t="n">
        <f aca="false">Pipe_Tally!L3</f>
        <v>12470.51</v>
      </c>
      <c r="F3" s="24" t="n">
        <f aca="false">Pipe_Tally!M3</f>
        <v>12498.98</v>
      </c>
      <c r="G3" s="24" t="n">
        <f aca="false">MAX(0,MIN(F3,Well_Data!$B$10)-MAX(E3,Well_Data!$B$23))</f>
        <v>28.4699999999993</v>
      </c>
      <c r="H3" s="26" t="n">
        <f aca="false">G3*(Well_Data!$B$26^2-C3^2)/1029.4</f>
        <v>0.738093185350673</v>
      </c>
      <c r="I3" s="24" t="n">
        <f aca="false">MAX(0,MIN(F3,Well_Data!$B$23)-E3)</f>
        <v>0</v>
      </c>
      <c r="J3" s="26" t="n">
        <f aca="false">I3*(Well_Data!$B$25^2-C3^2)/1029.4</f>
        <v>0</v>
      </c>
      <c r="K3" s="25" t="n">
        <f aca="false">D3^2/1029.4</f>
        <v>0.00874295706236643</v>
      </c>
      <c r="L3" s="24" t="n">
        <f aca="false">F3-E3</f>
        <v>28.4699999999993</v>
      </c>
      <c r="M3" s="26" t="n">
        <f aca="false">K3*L3</f>
        <v>0.248911987565566</v>
      </c>
    </row>
    <row r="4" customFormat="false" ht="15" hidden="false" customHeight="true" outlineLevel="0" collapsed="false">
      <c r="A4" s="19" t="n">
        <f aca="false">Pipe_Tally!A4</f>
        <v>3</v>
      </c>
      <c r="B4" s="19" t="str">
        <f aca="false">Pipe_Tally!D4</f>
        <v>8-1/4in near-bit stabilizer</v>
      </c>
      <c r="C4" s="26" t="n">
        <f aca="false">Pipe_Tally!F4</f>
        <v>8.25</v>
      </c>
      <c r="D4" s="26" t="n">
        <f aca="false">Pipe_Tally!G4</f>
        <v>2.813</v>
      </c>
      <c r="E4" s="24" t="n">
        <f aca="false">Pipe_Tally!L4</f>
        <v>12464.99</v>
      </c>
      <c r="F4" s="24" t="n">
        <f aca="false">Pipe_Tally!M4</f>
        <v>12470.51</v>
      </c>
      <c r="G4" s="24" t="n">
        <f aca="false">MAX(0,MIN(F4,Well_Data!$B$10)-MAX(E4,Well_Data!$B$23))</f>
        <v>5.52000000000044</v>
      </c>
      <c r="H4" s="26" t="n">
        <f aca="false">G4*(Well_Data!$B$26^2-C4^2)/1029.4</f>
        <v>0.0224548280551795</v>
      </c>
      <c r="I4" s="24" t="n">
        <f aca="false">MAX(0,MIN(F4,Well_Data!$B$23)-E4)</f>
        <v>0</v>
      </c>
      <c r="J4" s="26" t="n">
        <f aca="false">I4*(Well_Data!$B$25^2-C4^2)/1029.4</f>
        <v>0</v>
      </c>
      <c r="K4" s="25" t="n">
        <f aca="false">D4^2/1029.4</f>
        <v>0.0076869720225374</v>
      </c>
      <c r="L4" s="24" t="n">
        <f aca="false">F4-E4</f>
        <v>5.52000000000044</v>
      </c>
      <c r="M4" s="26" t="n">
        <f aca="false">K4*L4</f>
        <v>0.0424320855644098</v>
      </c>
    </row>
    <row r="5" customFormat="false" ht="15" hidden="false" customHeight="true" outlineLevel="0" collapsed="false">
      <c r="A5" s="19" t="n">
        <f aca="false">Pipe_Tally!A5</f>
        <v>4</v>
      </c>
      <c r="B5" s="19" t="str">
        <f aca="false">Pipe_Tally!D5</f>
        <v>6-3/4in MWD / gamma collar</v>
      </c>
      <c r="C5" s="26" t="n">
        <f aca="false">Pipe_Tally!F5</f>
        <v>6.75</v>
      </c>
      <c r="D5" s="26" t="n">
        <f aca="false">Pipe_Tally!G5</f>
        <v>3.25</v>
      </c>
      <c r="E5" s="24" t="n">
        <f aca="false">Pipe_Tally!L5</f>
        <v>12433.81</v>
      </c>
      <c r="F5" s="24" t="n">
        <f aca="false">Pipe_Tally!M5</f>
        <v>12464.99</v>
      </c>
      <c r="G5" s="24" t="n">
        <f aca="false">MAX(0,MIN(F5,Well_Data!$B$10)-MAX(E5,Well_Data!$B$23))</f>
        <v>31.1800000000003</v>
      </c>
      <c r="H5" s="26" t="n">
        <f aca="false">G5*(Well_Data!$B$26^2-C5^2)/1029.4</f>
        <v>0.808350738294159</v>
      </c>
      <c r="I5" s="24" t="n">
        <f aca="false">MAX(0,MIN(F5,Well_Data!$B$23)-E5)</f>
        <v>0</v>
      </c>
      <c r="J5" s="26" t="n">
        <f aca="false">I5*(Well_Data!$B$25^2-C5^2)/1029.4</f>
        <v>0</v>
      </c>
      <c r="K5" s="25" t="n">
        <f aca="false">D5^2/1029.4</f>
        <v>0.0102608315523606</v>
      </c>
      <c r="L5" s="24" t="n">
        <f aca="false">F5-E5</f>
        <v>31.1800000000003</v>
      </c>
      <c r="M5" s="26" t="n">
        <f aca="false">K5*L5</f>
        <v>0.319932727802606</v>
      </c>
    </row>
    <row r="6" customFormat="false" ht="15" hidden="false" customHeight="true" outlineLevel="0" collapsed="false">
      <c r="A6" s="19" t="n">
        <f aca="false">Pipe_Tally!A6</f>
        <v>5</v>
      </c>
      <c r="B6" s="19" t="str">
        <f aca="false">Pipe_Tally!D6</f>
        <v>6-3/4in non-mag drill collar</v>
      </c>
      <c r="C6" s="26" t="n">
        <f aca="false">Pipe_Tally!F6</f>
        <v>6.75</v>
      </c>
      <c r="D6" s="26" t="n">
        <f aca="false">Pipe_Tally!G6</f>
        <v>2.813</v>
      </c>
      <c r="E6" s="24" t="n">
        <f aca="false">Pipe_Tally!L6</f>
        <v>12403.67</v>
      </c>
      <c r="F6" s="24" t="n">
        <f aca="false">Pipe_Tally!M6</f>
        <v>12433.81</v>
      </c>
      <c r="G6" s="24" t="n">
        <f aca="false">MAX(0,MIN(F6,Well_Data!$B$10)-MAX(E6,Well_Data!$B$23))</f>
        <v>30.1399999999994</v>
      </c>
      <c r="H6" s="26" t="n">
        <f aca="false">G6*(Well_Data!$B$26^2-C6^2)/1029.4</f>
        <v>0.781388430153472</v>
      </c>
      <c r="I6" s="24" t="n">
        <f aca="false">MAX(0,MIN(F6,Well_Data!$B$23)-E6)</f>
        <v>0</v>
      </c>
      <c r="J6" s="26" t="n">
        <f aca="false">I6*(Well_Data!$B$25^2-C6^2)/1029.4</f>
        <v>0</v>
      </c>
      <c r="K6" s="25" t="n">
        <f aca="false">D6^2/1029.4</f>
        <v>0.0076869720225374</v>
      </c>
      <c r="L6" s="24" t="n">
        <f aca="false">F6-E6</f>
        <v>30.1399999999994</v>
      </c>
      <c r="M6" s="26" t="n">
        <f aca="false">K6*L6</f>
        <v>0.231685336759273</v>
      </c>
    </row>
    <row r="7" customFormat="false" ht="15" hidden="false" customHeight="true" outlineLevel="0" collapsed="false">
      <c r="A7" s="19" t="n">
        <f aca="false">Pipe_Tally!A7</f>
        <v>6</v>
      </c>
      <c r="B7" s="19" t="str">
        <f aca="false">Pipe_Tally!D7</f>
        <v>8-1/4in string stabilizer</v>
      </c>
      <c r="C7" s="26" t="n">
        <f aca="false">Pipe_Tally!F7</f>
        <v>8.25</v>
      </c>
      <c r="D7" s="26" t="n">
        <f aca="false">Pipe_Tally!G7</f>
        <v>2.813</v>
      </c>
      <c r="E7" s="24" t="n">
        <f aca="false">Pipe_Tally!L7</f>
        <v>12398.29</v>
      </c>
      <c r="F7" s="24" t="n">
        <f aca="false">Pipe_Tally!M7</f>
        <v>12403.67</v>
      </c>
      <c r="G7" s="24" t="n">
        <f aca="false">MAX(0,MIN(F7,Well_Data!$B$10)-MAX(E7,Well_Data!$B$23))</f>
        <v>5.3799999999992</v>
      </c>
      <c r="H7" s="26" t="n">
        <f aca="false">G7*(Well_Data!$B$26^2-C7^2)/1029.4</f>
        <v>0.0218853215465287</v>
      </c>
      <c r="I7" s="24" t="n">
        <f aca="false">MAX(0,MIN(F7,Well_Data!$B$23)-E7)</f>
        <v>0</v>
      </c>
      <c r="J7" s="26" t="n">
        <f aca="false">I7*(Well_Data!$B$25^2-C7^2)/1029.4</f>
        <v>0</v>
      </c>
      <c r="K7" s="25" t="n">
        <f aca="false">D7^2/1029.4</f>
        <v>0.0076869720225374</v>
      </c>
      <c r="L7" s="24" t="n">
        <f aca="false">F7-E7</f>
        <v>5.3799999999992</v>
      </c>
      <c r="M7" s="26" t="n">
        <f aca="false">K7*L7</f>
        <v>0.0413559094812451</v>
      </c>
    </row>
    <row r="8" customFormat="false" ht="15" hidden="false" customHeight="true" outlineLevel="0" collapsed="false">
      <c r="A8" s="19" t="n">
        <f aca="false">Pipe_Tally!A8</f>
        <v>7</v>
      </c>
      <c r="B8" s="19" t="str">
        <f aca="false">Pipe_Tally!D8</f>
        <v>6-3/4in drill collar #1</v>
      </c>
      <c r="C8" s="26" t="n">
        <f aca="false">Pipe_Tally!F8</f>
        <v>6.75</v>
      </c>
      <c r="D8" s="26" t="n">
        <f aca="false">Pipe_Tally!G8</f>
        <v>2.813</v>
      </c>
      <c r="E8" s="24" t="n">
        <f aca="false">Pipe_Tally!L8</f>
        <v>12367.89</v>
      </c>
      <c r="F8" s="24" t="n">
        <f aca="false">Pipe_Tally!M8</f>
        <v>12398.29</v>
      </c>
      <c r="G8" s="24" t="n">
        <f aca="false">MAX(0,MIN(F8,Well_Data!$B$10)-MAX(E8,Well_Data!$B$23))</f>
        <v>30.3999999999996</v>
      </c>
      <c r="H8" s="26" t="n">
        <f aca="false">G8*(Well_Data!$B$26^2-C8^2)/1029.4</f>
        <v>0.788129007188644</v>
      </c>
      <c r="I8" s="24" t="n">
        <f aca="false">MAX(0,MIN(F8,Well_Data!$B$23)-E8)</f>
        <v>0</v>
      </c>
      <c r="J8" s="26" t="n">
        <f aca="false">I8*(Well_Data!$B$25^2-C8^2)/1029.4</f>
        <v>0</v>
      </c>
      <c r="K8" s="25" t="n">
        <f aca="false">D8^2/1029.4</f>
        <v>0.0076869720225374</v>
      </c>
      <c r="L8" s="24" t="n">
        <f aca="false">F8-E8</f>
        <v>30.3999999999996</v>
      </c>
      <c r="M8" s="26" t="n">
        <f aca="false">K8*L8</f>
        <v>0.233683949485134</v>
      </c>
    </row>
    <row r="9" customFormat="false" ht="15" hidden="false" customHeight="true" outlineLevel="0" collapsed="false">
      <c r="A9" s="19" t="n">
        <f aca="false">Pipe_Tally!A9</f>
        <v>8</v>
      </c>
      <c r="B9" s="19" t="str">
        <f aca="false">Pipe_Tally!D9</f>
        <v>6-3/4in drill collar #2</v>
      </c>
      <c r="C9" s="26" t="n">
        <f aca="false">Pipe_Tally!F9</f>
        <v>6.75</v>
      </c>
      <c r="D9" s="26" t="n">
        <f aca="false">Pipe_Tally!G9</f>
        <v>2.813</v>
      </c>
      <c r="E9" s="24" t="n">
        <f aca="false">Pipe_Tally!L9</f>
        <v>12337.47</v>
      </c>
      <c r="F9" s="24" t="n">
        <f aca="false">Pipe_Tally!M9</f>
        <v>12367.89</v>
      </c>
      <c r="G9" s="24" t="n">
        <f aca="false">MAX(0,MIN(F9,Well_Data!$B$10)-MAX(E9,Well_Data!$B$23))</f>
        <v>30.4200000000001</v>
      </c>
      <c r="H9" s="26" t="n">
        <f aca="false">G9*(Well_Data!$B$26^2-C9^2)/1029.4</f>
        <v>0.788647513114437</v>
      </c>
      <c r="I9" s="24" t="n">
        <f aca="false">MAX(0,MIN(F9,Well_Data!$B$23)-E9)</f>
        <v>0</v>
      </c>
      <c r="J9" s="26" t="n">
        <f aca="false">I9*(Well_Data!$B$25^2-C9^2)/1029.4</f>
        <v>0</v>
      </c>
      <c r="K9" s="25" t="n">
        <f aca="false">D9^2/1029.4</f>
        <v>0.0076869720225374</v>
      </c>
      <c r="L9" s="24" t="n">
        <f aca="false">F9-E9</f>
        <v>30.4200000000001</v>
      </c>
      <c r="M9" s="26" t="n">
        <f aca="false">K9*L9</f>
        <v>0.233837688925588</v>
      </c>
    </row>
    <row r="10" customFormat="false" ht="15" hidden="false" customHeight="true" outlineLevel="0" collapsed="false">
      <c r="A10" s="19" t="n">
        <f aca="false">Pipe_Tally!A10</f>
        <v>9</v>
      </c>
      <c r="B10" s="19" t="str">
        <f aca="false">Pipe_Tally!D10</f>
        <v>6-3/4in drill collar #3</v>
      </c>
      <c r="C10" s="26" t="n">
        <f aca="false">Pipe_Tally!F10</f>
        <v>6.75</v>
      </c>
      <c r="D10" s="26" t="n">
        <f aca="false">Pipe_Tally!G10</f>
        <v>2.813</v>
      </c>
      <c r="E10" s="24" t="n">
        <f aca="false">Pipe_Tally!L10</f>
        <v>12307.25</v>
      </c>
      <c r="F10" s="24" t="n">
        <f aca="false">Pipe_Tally!M10</f>
        <v>12337.47</v>
      </c>
      <c r="G10" s="24" t="n">
        <f aca="false">MAX(0,MIN(F10,Well_Data!$B$10)-MAX(E10,Well_Data!$B$23))</f>
        <v>30.2199999999993</v>
      </c>
      <c r="H10" s="26" t="n">
        <f aca="false">G10*(Well_Data!$B$26^2-C10^2)/1029.4</f>
        <v>0.783462453856598</v>
      </c>
      <c r="I10" s="24" t="n">
        <f aca="false">MAX(0,MIN(F10,Well_Data!$B$23)-E10)</f>
        <v>0</v>
      </c>
      <c r="J10" s="26" t="n">
        <f aca="false">I10*(Well_Data!$B$25^2-C10^2)/1029.4</f>
        <v>0</v>
      </c>
      <c r="K10" s="25" t="n">
        <f aca="false">D10^2/1029.4</f>
        <v>0.0076869720225374</v>
      </c>
      <c r="L10" s="24" t="n">
        <f aca="false">F10-E10</f>
        <v>30.2199999999993</v>
      </c>
      <c r="M10" s="26" t="n">
        <f aca="false">K10*L10</f>
        <v>0.232300294521075</v>
      </c>
    </row>
    <row r="11" customFormat="false" ht="15" hidden="false" customHeight="true" outlineLevel="0" collapsed="false">
      <c r="A11" s="19" t="n">
        <f aca="false">Pipe_Tally!A11</f>
        <v>10</v>
      </c>
      <c r="B11" s="19" t="str">
        <f aca="false">Pipe_Tally!D11</f>
        <v>6-3/4in drill collar #4</v>
      </c>
      <c r="C11" s="26" t="n">
        <f aca="false">Pipe_Tally!F11</f>
        <v>6.75</v>
      </c>
      <c r="D11" s="26" t="n">
        <f aca="false">Pipe_Tally!G11</f>
        <v>2.813</v>
      </c>
      <c r="E11" s="24" t="n">
        <f aca="false">Pipe_Tally!L11</f>
        <v>12276.98</v>
      </c>
      <c r="F11" s="24" t="n">
        <f aca="false">Pipe_Tally!M11</f>
        <v>12307.25</v>
      </c>
      <c r="G11" s="24" t="n">
        <f aca="false">MAX(0,MIN(F11,Well_Data!$B$10)-MAX(E11,Well_Data!$B$23))</f>
        <v>30.2700000000004</v>
      </c>
      <c r="H11" s="26" t="n">
        <f aca="false">G11*(Well_Data!$B$26^2-C11^2)/1029.4</f>
        <v>0.784758718671082</v>
      </c>
      <c r="I11" s="24" t="n">
        <f aca="false">MAX(0,MIN(F11,Well_Data!$B$23)-E11)</f>
        <v>0</v>
      </c>
      <c r="J11" s="26" t="n">
        <f aca="false">I11*(Well_Data!$B$25^2-C11^2)/1029.4</f>
        <v>0</v>
      </c>
      <c r="K11" s="25" t="n">
        <f aca="false">D11^2/1029.4</f>
        <v>0.0076869720225374</v>
      </c>
      <c r="L11" s="24" t="n">
        <f aca="false">F11-E11</f>
        <v>30.2700000000004</v>
      </c>
      <c r="M11" s="26" t="n">
        <f aca="false">K11*L11</f>
        <v>0.232684643122211</v>
      </c>
    </row>
    <row r="12" customFormat="false" ht="15" hidden="false" customHeight="true" outlineLevel="0" collapsed="false">
      <c r="A12" s="19" t="n">
        <f aca="false">Pipe_Tally!A12</f>
        <v>11</v>
      </c>
      <c r="B12" s="19" t="str">
        <f aca="false">Pipe_Tally!D12</f>
        <v>6-3/4in drill collar #5</v>
      </c>
      <c r="C12" s="26" t="n">
        <f aca="false">Pipe_Tally!F12</f>
        <v>6.75</v>
      </c>
      <c r="D12" s="26" t="n">
        <f aca="false">Pipe_Tally!G12</f>
        <v>2.813</v>
      </c>
      <c r="E12" s="24" t="n">
        <f aca="false">Pipe_Tally!L12</f>
        <v>12246.81</v>
      </c>
      <c r="F12" s="24" t="n">
        <f aca="false">Pipe_Tally!M12</f>
        <v>12276.98</v>
      </c>
      <c r="G12" s="24" t="n">
        <f aca="false">MAX(0,MIN(F12,Well_Data!$B$10)-MAX(E12,Well_Data!$B$23))</f>
        <v>30.1700000000001</v>
      </c>
      <c r="H12" s="26" t="n">
        <f aca="false">G12*(Well_Data!$B$26^2-C12^2)/1029.4</f>
        <v>0.782166189042162</v>
      </c>
      <c r="I12" s="24" t="n">
        <f aca="false">MAX(0,MIN(F12,Well_Data!$B$23)-E12)</f>
        <v>0</v>
      </c>
      <c r="J12" s="26" t="n">
        <f aca="false">I12*(Well_Data!$B$25^2-C12^2)/1029.4</f>
        <v>0</v>
      </c>
      <c r="K12" s="25" t="n">
        <f aca="false">D12^2/1029.4</f>
        <v>0.0076869720225374</v>
      </c>
      <c r="L12" s="24" t="n">
        <f aca="false">F12-E12</f>
        <v>30.1700000000001</v>
      </c>
      <c r="M12" s="26" t="n">
        <f aca="false">K12*L12</f>
        <v>0.231915945919954</v>
      </c>
    </row>
    <row r="13" customFormat="false" ht="15" hidden="false" customHeight="true" outlineLevel="0" collapsed="false">
      <c r="A13" s="19" t="n">
        <f aca="false">Pipe_Tally!A13</f>
        <v>12</v>
      </c>
      <c r="B13" s="19" t="str">
        <f aca="false">Pipe_Tally!D13</f>
        <v>6-3/4in drill collar #6</v>
      </c>
      <c r="C13" s="26" t="n">
        <f aca="false">Pipe_Tally!F13</f>
        <v>6.75</v>
      </c>
      <c r="D13" s="26" t="n">
        <f aca="false">Pipe_Tally!G13</f>
        <v>2.813</v>
      </c>
      <c r="E13" s="24" t="n">
        <f aca="false">Pipe_Tally!L13</f>
        <v>12216.5</v>
      </c>
      <c r="F13" s="24" t="n">
        <f aca="false">Pipe_Tally!M13</f>
        <v>12246.81</v>
      </c>
      <c r="G13" s="24" t="n">
        <f aca="false">MAX(0,MIN(F13,Well_Data!$B$10)-MAX(E13,Well_Data!$B$23))</f>
        <v>30.3099999999995</v>
      </c>
      <c r="H13" s="26" t="n">
        <f aca="false">G13*(Well_Data!$B$26^2-C13^2)/1029.4</f>
        <v>0.785795730522621</v>
      </c>
      <c r="I13" s="24" t="n">
        <f aca="false">MAX(0,MIN(F13,Well_Data!$B$23)-E13)</f>
        <v>0</v>
      </c>
      <c r="J13" s="26" t="n">
        <f aca="false">I13*(Well_Data!$B$25^2-C13^2)/1029.4</f>
        <v>0</v>
      </c>
      <c r="K13" s="25" t="n">
        <f aca="false">D13^2/1029.4</f>
        <v>0.0076869720225374</v>
      </c>
      <c r="L13" s="24" t="n">
        <f aca="false">F13-E13</f>
        <v>30.3099999999995</v>
      </c>
      <c r="M13" s="26" t="n">
        <f aca="false">K13*L13</f>
        <v>0.232992122003105</v>
      </c>
    </row>
    <row r="14" customFormat="false" ht="15" hidden="false" customHeight="true" outlineLevel="0" collapsed="false">
      <c r="A14" s="19" t="n">
        <f aca="false">Pipe_Tally!A14</f>
        <v>13</v>
      </c>
      <c r="B14" s="19" t="str">
        <f aca="false">Pipe_Tally!D14</f>
        <v>6-3/4in drill collar #7</v>
      </c>
      <c r="C14" s="26" t="n">
        <f aca="false">Pipe_Tally!F14</f>
        <v>6.75</v>
      </c>
      <c r="D14" s="26" t="n">
        <f aca="false">Pipe_Tally!G14</f>
        <v>2.813</v>
      </c>
      <c r="E14" s="24" t="n">
        <f aca="false">Pipe_Tally!L14</f>
        <v>12186.42</v>
      </c>
      <c r="F14" s="24" t="n">
        <f aca="false">Pipe_Tally!M14</f>
        <v>12216.5</v>
      </c>
      <c r="G14" s="24" t="n">
        <f aca="false">MAX(0,MIN(F14,Well_Data!$B$10)-MAX(E14,Well_Data!$B$23))</f>
        <v>30.0799999999999</v>
      </c>
      <c r="H14" s="26" t="n">
        <f aca="false">G14*(Well_Data!$B$26^2-C14^2)/1029.4</f>
        <v>0.77983291237614</v>
      </c>
      <c r="I14" s="24" t="n">
        <f aca="false">MAX(0,MIN(F14,Well_Data!$B$23)-E14)</f>
        <v>0</v>
      </c>
      <c r="J14" s="26" t="n">
        <f aca="false">I14*(Well_Data!$B$25^2-C14^2)/1029.4</f>
        <v>0</v>
      </c>
      <c r="K14" s="25" t="n">
        <f aca="false">D14^2/1029.4</f>
        <v>0.0076869720225374</v>
      </c>
      <c r="L14" s="24" t="n">
        <f aca="false">F14-E14</f>
        <v>30.0799999999999</v>
      </c>
      <c r="M14" s="26" t="n">
        <f aca="false">K14*L14</f>
        <v>0.231224118437924</v>
      </c>
    </row>
    <row r="15" customFormat="false" ht="15" hidden="false" customHeight="true" outlineLevel="0" collapsed="false">
      <c r="A15" s="19" t="n">
        <f aca="false">Pipe_Tally!A15</f>
        <v>14</v>
      </c>
      <c r="B15" s="19" t="str">
        <f aca="false">Pipe_Tally!D15</f>
        <v>6-3/4in drill collar #8</v>
      </c>
      <c r="C15" s="26" t="n">
        <f aca="false">Pipe_Tally!F15</f>
        <v>6.75</v>
      </c>
      <c r="D15" s="26" t="n">
        <f aca="false">Pipe_Tally!G15</f>
        <v>2.813</v>
      </c>
      <c r="E15" s="24" t="n">
        <f aca="false">Pipe_Tally!L15</f>
        <v>12156.19</v>
      </c>
      <c r="F15" s="24" t="n">
        <f aca="false">Pipe_Tally!M15</f>
        <v>12186.42</v>
      </c>
      <c r="G15" s="24" t="n">
        <f aca="false">MAX(0,MIN(F15,Well_Data!$B$10)-MAX(E15,Well_Data!$B$23))</f>
        <v>30.2299999999996</v>
      </c>
      <c r="H15" s="26" t="n">
        <f aca="false">G15*(Well_Data!$B$26^2-C15^2)/1029.4</f>
        <v>0.783721706819495</v>
      </c>
      <c r="I15" s="24" t="n">
        <f aca="false">MAX(0,MIN(F15,Well_Data!$B$23)-E15)</f>
        <v>0</v>
      </c>
      <c r="J15" s="26" t="n">
        <f aca="false">I15*(Well_Data!$B$25^2-C15^2)/1029.4</f>
        <v>0</v>
      </c>
      <c r="K15" s="25" t="n">
        <f aca="false">D15^2/1029.4</f>
        <v>0.0076869720225374</v>
      </c>
      <c r="L15" s="24" t="n">
        <f aca="false">F15-E15</f>
        <v>30.2299999999996</v>
      </c>
      <c r="M15" s="26" t="n">
        <f aca="false">K15*L15</f>
        <v>0.232377164241302</v>
      </c>
    </row>
    <row r="16" customFormat="false" ht="15" hidden="false" customHeight="true" outlineLevel="0" collapsed="false">
      <c r="A16" s="19" t="n">
        <f aca="false">Pipe_Tally!A16</f>
        <v>15</v>
      </c>
      <c r="B16" s="19" t="str">
        <f aca="false">Pipe_Tally!D16</f>
        <v>6-3/4in drill collar #9</v>
      </c>
      <c r="C16" s="26" t="n">
        <f aca="false">Pipe_Tally!F16</f>
        <v>6.75</v>
      </c>
      <c r="D16" s="26" t="n">
        <f aca="false">Pipe_Tally!G16</f>
        <v>2.813</v>
      </c>
      <c r="E16" s="24" t="n">
        <f aca="false">Pipe_Tally!L16</f>
        <v>12126.08</v>
      </c>
      <c r="F16" s="24" t="n">
        <f aca="false">Pipe_Tally!M16</f>
        <v>12156.19</v>
      </c>
      <c r="G16" s="24" t="n">
        <f aca="false">MAX(0,MIN(F16,Well_Data!$B$10)-MAX(E16,Well_Data!$B$23))</f>
        <v>30.1100000000006</v>
      </c>
      <c r="H16" s="26" t="n">
        <f aca="false">G16*(Well_Data!$B$26^2-C16^2)/1029.4</f>
        <v>0.78061067126483</v>
      </c>
      <c r="I16" s="24" t="n">
        <f aca="false">MAX(0,MIN(F16,Well_Data!$B$23)-E16)</f>
        <v>0</v>
      </c>
      <c r="J16" s="26" t="n">
        <f aca="false">I16*(Well_Data!$B$25^2-C16^2)/1029.4</f>
        <v>0</v>
      </c>
      <c r="K16" s="25" t="n">
        <f aca="false">D16^2/1029.4</f>
        <v>0.0076869720225374</v>
      </c>
      <c r="L16" s="24" t="n">
        <f aca="false">F16-E16</f>
        <v>30.1100000000006</v>
      </c>
      <c r="M16" s="26" t="n">
        <f aca="false">K16*L16</f>
        <v>0.231454727598606</v>
      </c>
    </row>
    <row r="17" customFormat="false" ht="15" hidden="false" customHeight="true" outlineLevel="0" collapsed="false">
      <c r="A17" s="19" t="n">
        <f aca="false">Pipe_Tally!A17</f>
        <v>16</v>
      </c>
      <c r="B17" s="19" t="str">
        <f aca="false">Pipe_Tally!D17</f>
        <v>6-3/4in drill collar #10</v>
      </c>
      <c r="C17" s="26" t="n">
        <f aca="false">Pipe_Tally!F17</f>
        <v>6.75</v>
      </c>
      <c r="D17" s="26" t="n">
        <f aca="false">Pipe_Tally!G17</f>
        <v>2.813</v>
      </c>
      <c r="E17" s="24" t="n">
        <f aca="false">Pipe_Tally!L17</f>
        <v>12096.01</v>
      </c>
      <c r="F17" s="24" t="n">
        <f aca="false">Pipe_Tally!M17</f>
        <v>12126.08</v>
      </c>
      <c r="G17" s="24" t="n">
        <f aca="false">MAX(0,MIN(F17,Well_Data!$B$10)-MAX(E17,Well_Data!$B$23))</f>
        <v>30.0699999999997</v>
      </c>
      <c r="H17" s="26" t="n">
        <f aca="false">G17*(Well_Data!$B$26^2-C17^2)/1029.4</f>
        <v>0.779573659413243</v>
      </c>
      <c r="I17" s="24" t="n">
        <f aca="false">MAX(0,MIN(F17,Well_Data!$B$23)-E17)</f>
        <v>0</v>
      </c>
      <c r="J17" s="26" t="n">
        <f aca="false">I17*(Well_Data!$B$25^2-C17^2)/1029.4</f>
        <v>0</v>
      </c>
      <c r="K17" s="25" t="n">
        <f aca="false">D17^2/1029.4</f>
        <v>0.0076869720225374</v>
      </c>
      <c r="L17" s="24" t="n">
        <f aca="false">F17-E17</f>
        <v>30.0699999999997</v>
      </c>
      <c r="M17" s="26" t="n">
        <f aca="false">K17*L17</f>
        <v>0.231147248717697</v>
      </c>
    </row>
    <row r="18" customFormat="false" ht="15" hidden="false" customHeight="true" outlineLevel="0" collapsed="false">
      <c r="A18" s="19" t="n">
        <f aca="false">Pipe_Tally!A18</f>
        <v>17</v>
      </c>
      <c r="B18" s="19" t="str">
        <f aca="false">Pipe_Tally!D18</f>
        <v>6-3/4in drill collar #11</v>
      </c>
      <c r="C18" s="26" t="n">
        <f aca="false">Pipe_Tally!F18</f>
        <v>6.75</v>
      </c>
      <c r="D18" s="26" t="n">
        <f aca="false">Pipe_Tally!G18</f>
        <v>2.813</v>
      </c>
      <c r="E18" s="24" t="n">
        <f aca="false">Pipe_Tally!L18</f>
        <v>12065.76</v>
      </c>
      <c r="F18" s="24" t="n">
        <f aca="false">Pipe_Tally!M18</f>
        <v>12096.01</v>
      </c>
      <c r="G18" s="24" t="n">
        <f aca="false">MAX(0,MIN(F18,Well_Data!$B$10)-MAX(E18,Well_Data!$B$23))</f>
        <v>30.25</v>
      </c>
      <c r="H18" s="26" t="n">
        <f aca="false">G18*(Well_Data!$B$26^2-C18^2)/1029.4</f>
        <v>0.784240212745288</v>
      </c>
      <c r="I18" s="24" t="n">
        <f aca="false">MAX(0,MIN(F18,Well_Data!$B$23)-E18)</f>
        <v>0</v>
      </c>
      <c r="J18" s="26" t="n">
        <f aca="false">I18*(Well_Data!$B$25^2-C18^2)/1029.4</f>
        <v>0</v>
      </c>
      <c r="K18" s="25" t="n">
        <f aca="false">D18^2/1029.4</f>
        <v>0.0076869720225374</v>
      </c>
      <c r="L18" s="24" t="n">
        <f aca="false">F18-E18</f>
        <v>30.25</v>
      </c>
      <c r="M18" s="26" t="n">
        <f aca="false">K18*L18</f>
        <v>0.232530903681756</v>
      </c>
    </row>
    <row r="19" customFormat="false" ht="15" hidden="false" customHeight="true" outlineLevel="0" collapsed="false">
      <c r="A19" s="19" t="n">
        <f aca="false">Pipe_Tally!A19</f>
        <v>18</v>
      </c>
      <c r="B19" s="19" t="str">
        <f aca="false">Pipe_Tally!D19</f>
        <v>6-3/4in drill collar #12</v>
      </c>
      <c r="C19" s="26" t="n">
        <f aca="false">Pipe_Tally!F19</f>
        <v>6.75</v>
      </c>
      <c r="D19" s="26" t="n">
        <f aca="false">Pipe_Tally!G19</f>
        <v>2.813</v>
      </c>
      <c r="E19" s="24" t="n">
        <f aca="false">Pipe_Tally!L19</f>
        <v>12035.41</v>
      </c>
      <c r="F19" s="24" t="n">
        <f aca="false">Pipe_Tally!M19</f>
        <v>12065.76</v>
      </c>
      <c r="G19" s="24" t="n">
        <f aca="false">MAX(0,MIN(F19,Well_Data!$B$10)-MAX(E19,Well_Data!$B$23))</f>
        <v>30.3500000000004</v>
      </c>
      <c r="H19" s="26" t="n">
        <f aca="false">G19*(Well_Data!$B$26^2-C19^2)/1029.4</f>
        <v>0.786832742374208</v>
      </c>
      <c r="I19" s="24" t="n">
        <f aca="false">MAX(0,MIN(F19,Well_Data!$B$23)-E19)</f>
        <v>0</v>
      </c>
      <c r="J19" s="26" t="n">
        <f aca="false">I19*(Well_Data!$B$25^2-C19^2)/1029.4</f>
        <v>0</v>
      </c>
      <c r="K19" s="25" t="n">
        <f aca="false">D19^2/1029.4</f>
        <v>0.0076869720225374</v>
      </c>
      <c r="L19" s="24" t="n">
        <f aca="false">F19-E19</f>
        <v>30.3500000000004</v>
      </c>
      <c r="M19" s="26" t="n">
        <f aca="false">K19*L19</f>
        <v>0.233299600884013</v>
      </c>
    </row>
    <row r="20" customFormat="false" ht="15" hidden="false" customHeight="true" outlineLevel="0" collapsed="false">
      <c r="A20" s="19" t="n">
        <f aca="false">Pipe_Tally!A20</f>
        <v>19</v>
      </c>
      <c r="B20" s="19" t="str">
        <f aca="false">Pipe_Tally!D20</f>
        <v>6-1/2in hydraulic drilling jar</v>
      </c>
      <c r="C20" s="26" t="n">
        <f aca="false">Pipe_Tally!F20</f>
        <v>6.5</v>
      </c>
      <c r="D20" s="26" t="n">
        <f aca="false">Pipe_Tally!G20</f>
        <v>2.75</v>
      </c>
      <c r="E20" s="24" t="n">
        <f aca="false">Pipe_Tally!L20</f>
        <v>12004.36</v>
      </c>
      <c r="F20" s="24" t="n">
        <f aca="false">Pipe_Tally!M20</f>
        <v>12035.41</v>
      </c>
      <c r="G20" s="24" t="n">
        <f aca="false">MAX(0,MIN(F20,Well_Data!$B$10)-MAX(E20,Well_Data!$B$23))</f>
        <v>31.0499999999993</v>
      </c>
      <c r="H20" s="26" t="n">
        <f aca="false">G20*(Well_Data!$B$26^2-C20^2)/1029.4</f>
        <v>0.904896055954904</v>
      </c>
      <c r="I20" s="24" t="n">
        <f aca="false">MAX(0,MIN(F20,Well_Data!$B$23)-E20)</f>
        <v>0</v>
      </c>
      <c r="J20" s="26" t="n">
        <f aca="false">I20*(Well_Data!$B$25^2-C20^2)/1029.4</f>
        <v>0</v>
      </c>
      <c r="K20" s="25" t="n">
        <f aca="false">D20^2/1029.4</f>
        <v>0.00734651253157179</v>
      </c>
      <c r="L20" s="24" t="n">
        <f aca="false">F20-E20</f>
        <v>31.0499999999993</v>
      </c>
      <c r="M20" s="26" t="n">
        <f aca="false">K20*L20</f>
        <v>0.228109214105299</v>
      </c>
    </row>
    <row r="21" customFormat="false" ht="15" hidden="false" customHeight="true" outlineLevel="0" collapsed="false">
      <c r="A21" s="19" t="n">
        <f aca="false">Pipe_Tally!A21</f>
        <v>20</v>
      </c>
      <c r="B21" s="19" t="str">
        <f aca="false">Pipe_Tally!D21</f>
        <v>5in HWDP, 49.3 ppf #1</v>
      </c>
      <c r="C21" s="26" t="n">
        <f aca="false">Pipe_Tally!F21</f>
        <v>5</v>
      </c>
      <c r="D21" s="26" t="n">
        <f aca="false">Pipe_Tally!G21</f>
        <v>3</v>
      </c>
      <c r="E21" s="24" t="n">
        <f aca="false">Pipe_Tally!L21</f>
        <v>11973.93</v>
      </c>
      <c r="F21" s="24" t="n">
        <f aca="false">Pipe_Tally!M21</f>
        <v>12004.36</v>
      </c>
      <c r="G21" s="24" t="n">
        <f aca="false">MAX(0,MIN(F21,Well_Data!$B$10)-MAX(E21,Well_Data!$B$23))</f>
        <v>30.4300000000003</v>
      </c>
      <c r="H21" s="26" t="n">
        <f aca="false">G21*(Well_Data!$B$26^2-C21^2)/1029.4</f>
        <v>1.39675296289102</v>
      </c>
      <c r="I21" s="24" t="n">
        <f aca="false">MAX(0,MIN(F21,Well_Data!$B$23)-E21)</f>
        <v>0</v>
      </c>
      <c r="J21" s="26" t="n">
        <f aca="false">I21*(Well_Data!$B$25^2-C21^2)/1029.4</f>
        <v>0</v>
      </c>
      <c r="K21" s="25" t="n">
        <f aca="false">D21^2/1029.4</f>
        <v>0.00874295706236643</v>
      </c>
      <c r="L21" s="24" t="n">
        <f aca="false">F21-E21</f>
        <v>30.4300000000003</v>
      </c>
      <c r="M21" s="26" t="n">
        <f aca="false">K21*L21</f>
        <v>0.266048183407813</v>
      </c>
    </row>
    <row r="22" customFormat="false" ht="15" hidden="false" customHeight="true" outlineLevel="0" collapsed="false">
      <c r="A22" s="19" t="n">
        <f aca="false">Pipe_Tally!A22</f>
        <v>21</v>
      </c>
      <c r="B22" s="19" t="str">
        <f aca="false">Pipe_Tally!D22</f>
        <v>5in HWDP, 49.3 ppf #2</v>
      </c>
      <c r="C22" s="26" t="n">
        <f aca="false">Pipe_Tally!F22</f>
        <v>5</v>
      </c>
      <c r="D22" s="26" t="n">
        <f aca="false">Pipe_Tally!G22</f>
        <v>3</v>
      </c>
      <c r="E22" s="24" t="n">
        <f aca="false">Pipe_Tally!L22</f>
        <v>11943.24</v>
      </c>
      <c r="F22" s="24" t="n">
        <f aca="false">Pipe_Tally!M22</f>
        <v>11973.93</v>
      </c>
      <c r="G22" s="24" t="n">
        <f aca="false">MAX(0,MIN(F22,Well_Data!$B$10)-MAX(E22,Well_Data!$B$23))</f>
        <v>30.6900000000005</v>
      </c>
      <c r="H22" s="26" t="n">
        <f aca="false">G22*(Well_Data!$B$26^2-C22^2)/1029.4</f>
        <v>1.40868709928116</v>
      </c>
      <c r="I22" s="24" t="n">
        <f aca="false">MAX(0,MIN(F22,Well_Data!$B$23)-E22)</f>
        <v>0</v>
      </c>
      <c r="J22" s="26" t="n">
        <f aca="false">I22*(Well_Data!$B$25^2-C22^2)/1029.4</f>
        <v>0</v>
      </c>
      <c r="K22" s="25" t="n">
        <f aca="false">D22^2/1029.4</f>
        <v>0.00874295706236643</v>
      </c>
      <c r="L22" s="24" t="n">
        <f aca="false">F22-E22</f>
        <v>30.6900000000005</v>
      </c>
      <c r="M22" s="26" t="n">
        <f aca="false">K22*L22</f>
        <v>0.26832135224403</v>
      </c>
    </row>
    <row r="23" customFormat="false" ht="15" hidden="false" customHeight="true" outlineLevel="0" collapsed="false">
      <c r="A23" s="19" t="n">
        <f aca="false">Pipe_Tally!A23</f>
        <v>22</v>
      </c>
      <c r="B23" s="19" t="str">
        <f aca="false">Pipe_Tally!D23</f>
        <v>5in HWDP, 49.3 ppf #3</v>
      </c>
      <c r="C23" s="26" t="n">
        <f aca="false">Pipe_Tally!F23</f>
        <v>5</v>
      </c>
      <c r="D23" s="26" t="n">
        <f aca="false">Pipe_Tally!G23</f>
        <v>3</v>
      </c>
      <c r="E23" s="24" t="n">
        <f aca="false">Pipe_Tally!L23</f>
        <v>11912.65</v>
      </c>
      <c r="F23" s="24" t="n">
        <f aca="false">Pipe_Tally!M23</f>
        <v>11943.24</v>
      </c>
      <c r="G23" s="24" t="n">
        <f aca="false">MAX(0,MIN(F23,Well_Data!$B$10)-MAX(E23,Well_Data!$B$23))</f>
        <v>30.5900000000001</v>
      </c>
      <c r="H23" s="26" t="n">
        <f aca="false">G23*(Well_Data!$B$26^2-C23^2)/1029.4</f>
        <v>1.4040970468234</v>
      </c>
      <c r="I23" s="24" t="n">
        <f aca="false">MAX(0,MIN(F23,Well_Data!$B$23)-E23)</f>
        <v>0</v>
      </c>
      <c r="J23" s="26" t="n">
        <f aca="false">I23*(Well_Data!$B$25^2-C23^2)/1029.4</f>
        <v>0</v>
      </c>
      <c r="K23" s="25" t="n">
        <f aca="false">D23^2/1029.4</f>
        <v>0.00874295706236643</v>
      </c>
      <c r="L23" s="24" t="n">
        <f aca="false">F23-E23</f>
        <v>30.5900000000001</v>
      </c>
      <c r="M23" s="26" t="n">
        <f aca="false">K23*L23</f>
        <v>0.26744705653779</v>
      </c>
    </row>
    <row r="24" customFormat="false" ht="15" hidden="false" customHeight="true" outlineLevel="0" collapsed="false">
      <c r="A24" s="19" t="n">
        <f aca="false">Pipe_Tally!A24</f>
        <v>23</v>
      </c>
      <c r="B24" s="19" t="str">
        <f aca="false">Pipe_Tally!D24</f>
        <v>5in HWDP, 49.3 ppf #4</v>
      </c>
      <c r="C24" s="26" t="n">
        <f aca="false">Pipe_Tally!F24</f>
        <v>5</v>
      </c>
      <c r="D24" s="26" t="n">
        <f aca="false">Pipe_Tally!G24</f>
        <v>3</v>
      </c>
      <c r="E24" s="24" t="n">
        <f aca="false">Pipe_Tally!L24</f>
        <v>11882.09</v>
      </c>
      <c r="F24" s="24" t="n">
        <f aca="false">Pipe_Tally!M24</f>
        <v>11912.65</v>
      </c>
      <c r="G24" s="24" t="n">
        <f aca="false">MAX(0,MIN(F24,Well_Data!$B$10)-MAX(E24,Well_Data!$B$23))</f>
        <v>30.5599999999995</v>
      </c>
      <c r="H24" s="26" t="n">
        <f aca="false">G24*(Well_Data!$B$26^2-C24^2)/1029.4</f>
        <v>1.40272003108605</v>
      </c>
      <c r="I24" s="24" t="n">
        <f aca="false">MAX(0,MIN(F24,Well_Data!$B$23)-E24)</f>
        <v>0</v>
      </c>
      <c r="J24" s="26" t="n">
        <f aca="false">I24*(Well_Data!$B$25^2-C24^2)/1029.4</f>
        <v>0</v>
      </c>
      <c r="K24" s="25" t="n">
        <f aca="false">D24^2/1029.4</f>
        <v>0.00874295706236643</v>
      </c>
      <c r="L24" s="24" t="n">
        <f aca="false">F24-E24</f>
        <v>30.5599999999995</v>
      </c>
      <c r="M24" s="26" t="n">
        <f aca="false">K24*L24</f>
        <v>0.267184767825914</v>
      </c>
    </row>
    <row r="25" customFormat="false" ht="15" hidden="false" customHeight="true" outlineLevel="0" collapsed="false">
      <c r="A25" s="19" t="n">
        <f aca="false">Pipe_Tally!A25</f>
        <v>24</v>
      </c>
      <c r="B25" s="19" t="str">
        <f aca="false">Pipe_Tally!D25</f>
        <v>5in HWDP, 49.3 ppf #5</v>
      </c>
      <c r="C25" s="26" t="n">
        <f aca="false">Pipe_Tally!F25</f>
        <v>5</v>
      </c>
      <c r="D25" s="26" t="n">
        <f aca="false">Pipe_Tally!G25</f>
        <v>3</v>
      </c>
      <c r="E25" s="24" t="n">
        <f aca="false">Pipe_Tally!L25</f>
        <v>11851.41</v>
      </c>
      <c r="F25" s="24" t="n">
        <f aca="false">Pipe_Tally!M25</f>
        <v>11882.09</v>
      </c>
      <c r="G25" s="24" t="n">
        <f aca="false">MAX(0,MIN(F25,Well_Data!$B$10)-MAX(E25,Well_Data!$B$23))</f>
        <v>30.6800000000003</v>
      </c>
      <c r="H25" s="26" t="n">
        <f aca="false">G25*(Well_Data!$B$26^2-C25^2)/1029.4</f>
        <v>1.40822809403537</v>
      </c>
      <c r="I25" s="24" t="n">
        <f aca="false">MAX(0,MIN(F25,Well_Data!$B$23)-E25)</f>
        <v>0</v>
      </c>
      <c r="J25" s="26" t="n">
        <f aca="false">I25*(Well_Data!$B$25^2-C25^2)/1029.4</f>
        <v>0</v>
      </c>
      <c r="K25" s="25" t="n">
        <f aca="false">D25^2/1029.4</f>
        <v>0.00874295706236643</v>
      </c>
      <c r="L25" s="24" t="n">
        <f aca="false">F25-E25</f>
        <v>30.6800000000003</v>
      </c>
      <c r="M25" s="26" t="n">
        <f aca="false">K25*L25</f>
        <v>0.268233922673405</v>
      </c>
    </row>
    <row r="26" customFormat="false" ht="15" hidden="false" customHeight="true" outlineLevel="0" collapsed="false">
      <c r="A26" s="19" t="n">
        <f aca="false">Pipe_Tally!A26</f>
        <v>25</v>
      </c>
      <c r="B26" s="19" t="str">
        <f aca="false">Pipe_Tally!D26</f>
        <v>5in HWDP, 49.3 ppf #6</v>
      </c>
      <c r="C26" s="26" t="n">
        <f aca="false">Pipe_Tally!F26</f>
        <v>5</v>
      </c>
      <c r="D26" s="26" t="n">
        <f aca="false">Pipe_Tally!G26</f>
        <v>3</v>
      </c>
      <c r="E26" s="24" t="n">
        <f aca="false">Pipe_Tally!L26</f>
        <v>11820.94</v>
      </c>
      <c r="F26" s="24" t="n">
        <f aca="false">Pipe_Tally!M26</f>
        <v>11851.41</v>
      </c>
      <c r="G26" s="24" t="n">
        <f aca="false">MAX(0,MIN(F26,Well_Data!$B$10)-MAX(E26,Well_Data!$B$23))</f>
        <v>30.4699999999993</v>
      </c>
      <c r="H26" s="26" t="n">
        <f aca="false">G26*(Well_Data!$B$26^2-C26^2)/1029.4</f>
        <v>1.39858898387407</v>
      </c>
      <c r="I26" s="24" t="n">
        <f aca="false">MAX(0,MIN(F26,Well_Data!$B$23)-E26)</f>
        <v>0</v>
      </c>
      <c r="J26" s="26" t="n">
        <f aca="false">I26*(Well_Data!$B$25^2-C26^2)/1029.4</f>
        <v>0</v>
      </c>
      <c r="K26" s="25" t="n">
        <f aca="false">D26^2/1029.4</f>
        <v>0.00874295706236643</v>
      </c>
      <c r="L26" s="24" t="n">
        <f aca="false">F26-E26</f>
        <v>30.4699999999993</v>
      </c>
      <c r="M26" s="26" t="n">
        <f aca="false">K26*L26</f>
        <v>0.266397901690299</v>
      </c>
    </row>
    <row r="27" customFormat="false" ht="15" hidden="false" customHeight="true" outlineLevel="0" collapsed="false">
      <c r="A27" s="19" t="n">
        <f aca="false">Pipe_Tally!A27</f>
        <v>26</v>
      </c>
      <c r="B27" s="19" t="str">
        <f aca="false">Pipe_Tally!D27</f>
        <v>5in HWDP, 49.3 ppf #7</v>
      </c>
      <c r="C27" s="26" t="n">
        <f aca="false">Pipe_Tally!F27</f>
        <v>5</v>
      </c>
      <c r="D27" s="26" t="n">
        <f aca="false">Pipe_Tally!G27</f>
        <v>3</v>
      </c>
      <c r="E27" s="24" t="n">
        <f aca="false">Pipe_Tally!L27</f>
        <v>11790.54</v>
      </c>
      <c r="F27" s="24" t="n">
        <f aca="false">Pipe_Tally!M27</f>
        <v>11820.94</v>
      </c>
      <c r="G27" s="24" t="n">
        <f aca="false">MAX(0,MIN(F27,Well_Data!$B$10)-MAX(E27,Well_Data!$B$23))</f>
        <v>30.3999999999996</v>
      </c>
      <c r="H27" s="26" t="n">
        <f aca="false">G27*(Well_Data!$B$26^2-C27^2)/1029.4</f>
        <v>1.39537594715366</v>
      </c>
      <c r="I27" s="24" t="n">
        <f aca="false">MAX(0,MIN(F27,Well_Data!$B$23)-E27)</f>
        <v>0</v>
      </c>
      <c r="J27" s="26" t="n">
        <f aca="false">I27*(Well_Data!$B$25^2-C27^2)/1029.4</f>
        <v>0</v>
      </c>
      <c r="K27" s="25" t="n">
        <f aca="false">D27^2/1029.4</f>
        <v>0.00874295706236643</v>
      </c>
      <c r="L27" s="24" t="n">
        <f aca="false">F27-E27</f>
        <v>30.3999999999996</v>
      </c>
      <c r="M27" s="26" t="n">
        <f aca="false">K27*L27</f>
        <v>0.265785894695936</v>
      </c>
    </row>
    <row r="28" customFormat="false" ht="15" hidden="false" customHeight="true" outlineLevel="0" collapsed="false">
      <c r="A28" s="19" t="n">
        <f aca="false">Pipe_Tally!A28</f>
        <v>27</v>
      </c>
      <c r="B28" s="19" t="str">
        <f aca="false">Pipe_Tally!D28</f>
        <v>5in HWDP, 49.3 ppf #8</v>
      </c>
      <c r="C28" s="26" t="n">
        <f aca="false">Pipe_Tally!F28</f>
        <v>5</v>
      </c>
      <c r="D28" s="26" t="n">
        <f aca="false">Pipe_Tally!G28</f>
        <v>3</v>
      </c>
      <c r="E28" s="24" t="n">
        <f aca="false">Pipe_Tally!L28</f>
        <v>11760.19</v>
      </c>
      <c r="F28" s="24" t="n">
        <f aca="false">Pipe_Tally!M28</f>
        <v>11790.54</v>
      </c>
      <c r="G28" s="24" t="n">
        <f aca="false">MAX(0,MIN(F28,Well_Data!$B$10)-MAX(E28,Well_Data!$B$23))</f>
        <v>30.3500000000004</v>
      </c>
      <c r="H28" s="26" t="n">
        <f aca="false">G28*(Well_Data!$B$26^2-C28^2)/1029.4</f>
        <v>1.39308092092483</v>
      </c>
      <c r="I28" s="24" t="n">
        <f aca="false">MAX(0,MIN(F28,Well_Data!$B$23)-E28)</f>
        <v>0</v>
      </c>
      <c r="J28" s="26" t="n">
        <f aca="false">I28*(Well_Data!$B$25^2-C28^2)/1029.4</f>
        <v>0</v>
      </c>
      <c r="K28" s="25" t="n">
        <f aca="false">D28^2/1029.4</f>
        <v>0.00874295706236643</v>
      </c>
      <c r="L28" s="24" t="n">
        <f aca="false">F28-E28</f>
        <v>30.3500000000004</v>
      </c>
      <c r="M28" s="26" t="n">
        <f aca="false">K28*L28</f>
        <v>0.265348746842824</v>
      </c>
    </row>
    <row r="29" customFormat="false" ht="15" hidden="false" customHeight="true" outlineLevel="0" collapsed="false">
      <c r="A29" s="19" t="n">
        <f aca="false">Pipe_Tally!A29</f>
        <v>28</v>
      </c>
      <c r="B29" s="19" t="str">
        <f aca="false">Pipe_Tally!D29</f>
        <v>5in HWDP, 49.3 ppf #9</v>
      </c>
      <c r="C29" s="26" t="n">
        <f aca="false">Pipe_Tally!F29</f>
        <v>5</v>
      </c>
      <c r="D29" s="26" t="n">
        <f aca="false">Pipe_Tally!G29</f>
        <v>3</v>
      </c>
      <c r="E29" s="24" t="n">
        <f aca="false">Pipe_Tally!L29</f>
        <v>11729.63</v>
      </c>
      <c r="F29" s="24" t="n">
        <f aca="false">Pipe_Tally!M29</f>
        <v>11760.19</v>
      </c>
      <c r="G29" s="24" t="n">
        <f aca="false">MAX(0,MIN(F29,Well_Data!$B$10)-MAX(E29,Well_Data!$B$23))</f>
        <v>30.5599999999995</v>
      </c>
      <c r="H29" s="26" t="n">
        <f aca="false">G29*(Well_Data!$B$26^2-C29^2)/1029.4</f>
        <v>1.40272003108605</v>
      </c>
      <c r="I29" s="24" t="n">
        <f aca="false">MAX(0,MIN(F29,Well_Data!$B$23)-E29)</f>
        <v>0</v>
      </c>
      <c r="J29" s="26" t="n">
        <f aca="false">I29*(Well_Data!$B$25^2-C29^2)/1029.4</f>
        <v>0</v>
      </c>
      <c r="K29" s="25" t="n">
        <f aca="false">D29^2/1029.4</f>
        <v>0.00874295706236643</v>
      </c>
      <c r="L29" s="24" t="n">
        <f aca="false">F29-E29</f>
        <v>30.5599999999995</v>
      </c>
      <c r="M29" s="26" t="n">
        <f aca="false">K29*L29</f>
        <v>0.267184767825914</v>
      </c>
    </row>
    <row r="30" customFormat="false" ht="15" hidden="false" customHeight="true" outlineLevel="0" collapsed="false">
      <c r="A30" s="19" t="n">
        <f aca="false">Pipe_Tally!A30</f>
        <v>29</v>
      </c>
      <c r="B30" s="19" t="str">
        <f aca="false">Pipe_Tally!D30</f>
        <v>5in HWDP, 49.3 ppf #10</v>
      </c>
      <c r="C30" s="26" t="n">
        <f aca="false">Pipe_Tally!F30</f>
        <v>5</v>
      </c>
      <c r="D30" s="26" t="n">
        <f aca="false">Pipe_Tally!G30</f>
        <v>3</v>
      </c>
      <c r="E30" s="24" t="n">
        <f aca="false">Pipe_Tally!L30</f>
        <v>11699.31</v>
      </c>
      <c r="F30" s="24" t="n">
        <f aca="false">Pipe_Tally!M30</f>
        <v>11729.63</v>
      </c>
      <c r="G30" s="24" t="n">
        <f aca="false">MAX(0,MIN(F30,Well_Data!$B$10)-MAX(E30,Well_Data!$B$23))</f>
        <v>30.3199999999997</v>
      </c>
      <c r="H30" s="26" t="n">
        <f aca="false">G30*(Well_Data!$B$26^2-C30^2)/1029.4</f>
        <v>1.39170390518747</v>
      </c>
      <c r="I30" s="24" t="n">
        <f aca="false">MAX(0,MIN(F30,Well_Data!$B$23)-E30)</f>
        <v>0</v>
      </c>
      <c r="J30" s="26" t="n">
        <f aca="false">I30*(Well_Data!$B$25^2-C30^2)/1029.4</f>
        <v>0</v>
      </c>
      <c r="K30" s="25" t="n">
        <f aca="false">D30^2/1029.4</f>
        <v>0.00874295706236643</v>
      </c>
      <c r="L30" s="24" t="n">
        <f aca="false">F30-E30</f>
        <v>30.3199999999997</v>
      </c>
      <c r="M30" s="26" t="n">
        <f aca="false">K30*L30</f>
        <v>0.265086458130948</v>
      </c>
    </row>
    <row r="31" customFormat="false" ht="15" hidden="false" customHeight="true" outlineLevel="0" collapsed="false">
      <c r="A31" s="19" t="n">
        <f aca="false">Pipe_Tally!A31</f>
        <v>30</v>
      </c>
      <c r="B31" s="19" t="str">
        <f aca="false">Pipe_Tally!D31</f>
        <v>5in HWDP, 49.3 ppf #11</v>
      </c>
      <c r="C31" s="26" t="n">
        <f aca="false">Pipe_Tally!F31</f>
        <v>5</v>
      </c>
      <c r="D31" s="26" t="n">
        <f aca="false">Pipe_Tally!G31</f>
        <v>3</v>
      </c>
      <c r="E31" s="24" t="n">
        <f aca="false">Pipe_Tally!L31</f>
        <v>11668.65</v>
      </c>
      <c r="F31" s="24" t="n">
        <f aca="false">Pipe_Tally!M31</f>
        <v>11699.31</v>
      </c>
      <c r="G31" s="24" t="n">
        <f aca="false">MAX(0,MIN(F31,Well_Data!$B$10)-MAX(E31,Well_Data!$B$23))</f>
        <v>30.6599999999999</v>
      </c>
      <c r="H31" s="26" t="n">
        <f aca="false">G31*(Well_Data!$B$26^2-C31^2)/1029.4</f>
        <v>1.40731008354381</v>
      </c>
      <c r="I31" s="24" t="n">
        <f aca="false">MAX(0,MIN(F31,Well_Data!$B$23)-E31)</f>
        <v>0</v>
      </c>
      <c r="J31" s="26" t="n">
        <f aca="false">I31*(Well_Data!$B$25^2-C31^2)/1029.4</f>
        <v>0</v>
      </c>
      <c r="K31" s="25" t="n">
        <f aca="false">D31^2/1029.4</f>
        <v>0.00874295706236643</v>
      </c>
      <c r="L31" s="24" t="n">
        <f aca="false">F31-E31</f>
        <v>30.6599999999999</v>
      </c>
      <c r="M31" s="26" t="n">
        <f aca="false">K31*L31</f>
        <v>0.268059063532153</v>
      </c>
    </row>
    <row r="32" customFormat="false" ht="15" hidden="false" customHeight="true" outlineLevel="0" collapsed="false">
      <c r="A32" s="19" t="n">
        <f aca="false">Pipe_Tally!A32</f>
        <v>31</v>
      </c>
      <c r="B32" s="19" t="str">
        <f aca="false">Pipe_Tally!D32</f>
        <v>5in HWDP, 49.3 ppf #12</v>
      </c>
      <c r="C32" s="26" t="n">
        <f aca="false">Pipe_Tally!F32</f>
        <v>5</v>
      </c>
      <c r="D32" s="26" t="n">
        <f aca="false">Pipe_Tally!G32</f>
        <v>3</v>
      </c>
      <c r="E32" s="24" t="n">
        <f aca="false">Pipe_Tally!L32</f>
        <v>11638.35</v>
      </c>
      <c r="F32" s="24" t="n">
        <f aca="false">Pipe_Tally!M32</f>
        <v>11668.65</v>
      </c>
      <c r="G32" s="24" t="n">
        <f aca="false">MAX(0,MIN(F32,Well_Data!$B$10)-MAX(E32,Well_Data!$B$23))</f>
        <v>30.2999999999993</v>
      </c>
      <c r="H32" s="26" t="n">
        <f aca="false">G32*(Well_Data!$B$26^2-C32^2)/1029.4</f>
        <v>1.39078589469591</v>
      </c>
      <c r="I32" s="24" t="n">
        <f aca="false">MAX(0,MIN(F32,Well_Data!$B$23)-E32)</f>
        <v>0</v>
      </c>
      <c r="J32" s="26" t="n">
        <f aca="false">I32*(Well_Data!$B$25^2-C32^2)/1029.4</f>
        <v>0</v>
      </c>
      <c r="K32" s="25" t="n">
        <f aca="false">D32^2/1029.4</f>
        <v>0.00874295706236643</v>
      </c>
      <c r="L32" s="24" t="n">
        <f aca="false">F32-E32</f>
        <v>30.2999999999993</v>
      </c>
      <c r="M32" s="26" t="n">
        <f aca="false">K32*L32</f>
        <v>0.264911598989696</v>
      </c>
    </row>
    <row r="33" customFormat="false" ht="15" hidden="false" customHeight="true" outlineLevel="0" collapsed="false">
      <c r="A33" s="19" t="n">
        <f aca="false">Pipe_Tally!A33</f>
        <v>32</v>
      </c>
      <c r="B33" s="19" t="str">
        <f aca="false">Pipe_Tally!D33</f>
        <v>5in HWDP, 49.3 ppf #13</v>
      </c>
      <c r="C33" s="26" t="n">
        <f aca="false">Pipe_Tally!F33</f>
        <v>5</v>
      </c>
      <c r="D33" s="26" t="n">
        <f aca="false">Pipe_Tally!G33</f>
        <v>3</v>
      </c>
      <c r="E33" s="24" t="n">
        <f aca="false">Pipe_Tally!L33</f>
        <v>11607.95</v>
      </c>
      <c r="F33" s="24" t="n">
        <f aca="false">Pipe_Tally!M33</f>
        <v>11638.35</v>
      </c>
      <c r="G33" s="24" t="n">
        <f aca="false">MAX(0,MIN(F33,Well_Data!$B$10)-MAX(E33,Well_Data!$B$23))</f>
        <v>30.3999999999996</v>
      </c>
      <c r="H33" s="26" t="n">
        <f aca="false">G33*(Well_Data!$B$26^2-C33^2)/1029.4</f>
        <v>1.39537594715366</v>
      </c>
      <c r="I33" s="24" t="n">
        <f aca="false">MAX(0,MIN(F33,Well_Data!$B$23)-E33)</f>
        <v>0</v>
      </c>
      <c r="J33" s="26" t="n">
        <f aca="false">I33*(Well_Data!$B$25^2-C33^2)/1029.4</f>
        <v>0</v>
      </c>
      <c r="K33" s="25" t="n">
        <f aca="false">D33^2/1029.4</f>
        <v>0.00874295706236643</v>
      </c>
      <c r="L33" s="24" t="n">
        <f aca="false">F33-E33</f>
        <v>30.3999999999996</v>
      </c>
      <c r="M33" s="26" t="n">
        <f aca="false">K33*L33</f>
        <v>0.265785894695936</v>
      </c>
    </row>
    <row r="34" customFormat="false" ht="15" hidden="false" customHeight="true" outlineLevel="0" collapsed="false">
      <c r="A34" s="19" t="n">
        <f aca="false">Pipe_Tally!A34</f>
        <v>33</v>
      </c>
      <c r="B34" s="19" t="str">
        <f aca="false">Pipe_Tally!D34</f>
        <v>5in HWDP, 49.3 ppf #14</v>
      </c>
      <c r="C34" s="26" t="n">
        <f aca="false">Pipe_Tally!F34</f>
        <v>5</v>
      </c>
      <c r="D34" s="26" t="n">
        <f aca="false">Pipe_Tally!G34</f>
        <v>3</v>
      </c>
      <c r="E34" s="24" t="n">
        <f aca="false">Pipe_Tally!L34</f>
        <v>11577.47</v>
      </c>
      <c r="F34" s="24" t="n">
        <f aca="false">Pipe_Tally!M34</f>
        <v>11607.95</v>
      </c>
      <c r="G34" s="24" t="n">
        <f aca="false">MAX(0,MIN(F34,Well_Data!$B$10)-MAX(E34,Well_Data!$B$23))</f>
        <v>30.4799999999996</v>
      </c>
      <c r="H34" s="26" t="n">
        <f aca="false">G34*(Well_Data!$B$26^2-C34^2)/1029.4</f>
        <v>1.39904798911986</v>
      </c>
      <c r="I34" s="24" t="n">
        <f aca="false">MAX(0,MIN(F34,Well_Data!$B$23)-E34)</f>
        <v>0</v>
      </c>
      <c r="J34" s="26" t="n">
        <f aca="false">I34*(Well_Data!$B$25^2-C34^2)/1029.4</f>
        <v>0</v>
      </c>
      <c r="K34" s="25" t="n">
        <f aca="false">D34^2/1029.4</f>
        <v>0.00874295706236643</v>
      </c>
      <c r="L34" s="24" t="n">
        <f aca="false">F34-E34</f>
        <v>30.4799999999996</v>
      </c>
      <c r="M34" s="26" t="n">
        <f aca="false">K34*L34</f>
        <v>0.266485331260925</v>
      </c>
    </row>
    <row r="35" customFormat="false" ht="15" hidden="false" customHeight="true" outlineLevel="0" collapsed="false">
      <c r="A35" s="19" t="n">
        <f aca="false">Pipe_Tally!A35</f>
        <v>34</v>
      </c>
      <c r="B35" s="19" t="str">
        <f aca="false">Pipe_Tally!D35</f>
        <v>5in HWDP, 49.3 ppf #15</v>
      </c>
      <c r="C35" s="26" t="n">
        <f aca="false">Pipe_Tally!F35</f>
        <v>5</v>
      </c>
      <c r="D35" s="26" t="n">
        <f aca="false">Pipe_Tally!G35</f>
        <v>3</v>
      </c>
      <c r="E35" s="24" t="n">
        <f aca="false">Pipe_Tally!L35</f>
        <v>11546.76</v>
      </c>
      <c r="F35" s="24" t="n">
        <f aca="false">Pipe_Tally!M35</f>
        <v>11577.47</v>
      </c>
      <c r="G35" s="24" t="n">
        <f aca="false">MAX(0,MIN(F35,Well_Data!$B$10)-MAX(E35,Well_Data!$B$23))</f>
        <v>30.7099999999991</v>
      </c>
      <c r="H35" s="26" t="n">
        <f aca="false">G35*(Well_Data!$B$26^2-C35^2)/1029.4</f>
        <v>1.40960510977264</v>
      </c>
      <c r="I35" s="24" t="n">
        <f aca="false">MAX(0,MIN(F35,Well_Data!$B$23)-E35)</f>
        <v>0</v>
      </c>
      <c r="J35" s="26" t="n">
        <f aca="false">I35*(Well_Data!$B$25^2-C35^2)/1029.4</f>
        <v>0</v>
      </c>
      <c r="K35" s="25" t="n">
        <f aca="false">D35^2/1029.4</f>
        <v>0.00874295706236643</v>
      </c>
      <c r="L35" s="24" t="n">
        <f aca="false">F35-E35</f>
        <v>30.7099999999991</v>
      </c>
      <c r="M35" s="26" t="n">
        <f aca="false">K35*L35</f>
        <v>0.268496211385265</v>
      </c>
    </row>
    <row r="36" customFormat="false" ht="15" hidden="false" customHeight="true" outlineLevel="0" collapsed="false">
      <c r="A36" s="19" t="n">
        <f aca="false">Pipe_Tally!A36</f>
        <v>35</v>
      </c>
      <c r="B36" s="19" t="str">
        <f aca="false">Pipe_Tally!D36</f>
        <v>5in HWDP, 49.3 ppf #16</v>
      </c>
      <c r="C36" s="26" t="n">
        <f aca="false">Pipe_Tally!F36</f>
        <v>5</v>
      </c>
      <c r="D36" s="26" t="n">
        <f aca="false">Pipe_Tally!G36</f>
        <v>3</v>
      </c>
      <c r="E36" s="24" t="n">
        <f aca="false">Pipe_Tally!L36</f>
        <v>11516.46</v>
      </c>
      <c r="F36" s="24" t="n">
        <f aca="false">Pipe_Tally!M36</f>
        <v>11546.76</v>
      </c>
      <c r="G36" s="24" t="n">
        <f aca="false">MAX(0,MIN(F36,Well_Data!$B$10)-MAX(E36,Well_Data!$B$23))</f>
        <v>30.2999999999993</v>
      </c>
      <c r="H36" s="26" t="n">
        <f aca="false">G36*(Well_Data!$B$26^2-C36^2)/1029.4</f>
        <v>1.39078589469591</v>
      </c>
      <c r="I36" s="24" t="n">
        <f aca="false">MAX(0,MIN(F36,Well_Data!$B$23)-E36)</f>
        <v>0</v>
      </c>
      <c r="J36" s="26" t="n">
        <f aca="false">I36*(Well_Data!$B$25^2-C36^2)/1029.4</f>
        <v>0</v>
      </c>
      <c r="K36" s="25" t="n">
        <f aca="false">D36^2/1029.4</f>
        <v>0.00874295706236643</v>
      </c>
      <c r="L36" s="24" t="n">
        <f aca="false">F36-E36</f>
        <v>30.2999999999993</v>
      </c>
      <c r="M36" s="26" t="n">
        <f aca="false">K36*L36</f>
        <v>0.264911598989696</v>
      </c>
    </row>
    <row r="37" customFormat="false" ht="15" hidden="false" customHeight="true" outlineLevel="0" collapsed="false">
      <c r="A37" s="19" t="n">
        <f aca="false">Pipe_Tally!A37</f>
        <v>36</v>
      </c>
      <c r="B37" s="19" t="str">
        <f aca="false">Pipe_Tally!D37</f>
        <v>5in HWDP, 49.3 ppf #17</v>
      </c>
      <c r="C37" s="26" t="n">
        <f aca="false">Pipe_Tally!F37</f>
        <v>5</v>
      </c>
      <c r="D37" s="26" t="n">
        <f aca="false">Pipe_Tally!G37</f>
        <v>3</v>
      </c>
      <c r="E37" s="24" t="n">
        <f aca="false">Pipe_Tally!L37</f>
        <v>11485.86</v>
      </c>
      <c r="F37" s="24" t="n">
        <f aca="false">Pipe_Tally!M37</f>
        <v>11516.46</v>
      </c>
      <c r="G37" s="24" t="n">
        <f aca="false">MAX(0,MIN(F37,Well_Data!$B$10)-MAX(E37,Well_Data!$B$23))</f>
        <v>30.6000000000004</v>
      </c>
      <c r="H37" s="26" t="n">
        <f aca="false">G37*(Well_Data!$B$26^2-C37^2)/1029.4</f>
        <v>1.40455605206918</v>
      </c>
      <c r="I37" s="24" t="n">
        <f aca="false">MAX(0,MIN(F37,Well_Data!$B$23)-E37)</f>
        <v>0</v>
      </c>
      <c r="J37" s="26" t="n">
        <f aca="false">I37*(Well_Data!$B$25^2-C37^2)/1029.4</f>
        <v>0</v>
      </c>
      <c r="K37" s="25" t="n">
        <f aca="false">D37^2/1029.4</f>
        <v>0.00874295706236643</v>
      </c>
      <c r="L37" s="24" t="n">
        <f aca="false">F37-E37</f>
        <v>30.6000000000004</v>
      </c>
      <c r="M37" s="26" t="n">
        <f aca="false">K37*L37</f>
        <v>0.267534486108416</v>
      </c>
    </row>
    <row r="38" customFormat="false" ht="15" hidden="false" customHeight="true" outlineLevel="0" collapsed="false">
      <c r="A38" s="19" t="n">
        <f aca="false">Pipe_Tally!A38</f>
        <v>37</v>
      </c>
      <c r="B38" s="19" t="str">
        <f aca="false">Pipe_Tally!D38</f>
        <v>5in HWDP, 49.3 ppf #18</v>
      </c>
      <c r="C38" s="26" t="n">
        <f aca="false">Pipe_Tally!F38</f>
        <v>5</v>
      </c>
      <c r="D38" s="26" t="n">
        <f aca="false">Pipe_Tally!G38</f>
        <v>3</v>
      </c>
      <c r="E38" s="24" t="n">
        <f aca="false">Pipe_Tally!L38</f>
        <v>11455.55</v>
      </c>
      <c r="F38" s="24" t="n">
        <f aca="false">Pipe_Tally!M38</f>
        <v>11485.86</v>
      </c>
      <c r="G38" s="24" t="n">
        <f aca="false">MAX(0,MIN(F38,Well_Data!$B$10)-MAX(E38,Well_Data!$B$23))</f>
        <v>30.3099999999995</v>
      </c>
      <c r="H38" s="26" t="n">
        <f aca="false">G38*(Well_Data!$B$26^2-C38^2)/1029.4</f>
        <v>1.39124489994169</v>
      </c>
      <c r="I38" s="24" t="n">
        <f aca="false">MAX(0,MIN(F38,Well_Data!$B$23)-E38)</f>
        <v>0</v>
      </c>
      <c r="J38" s="26" t="n">
        <f aca="false">I38*(Well_Data!$B$25^2-C38^2)/1029.4</f>
        <v>0</v>
      </c>
      <c r="K38" s="25" t="n">
        <f aca="false">D38^2/1029.4</f>
        <v>0.00874295706236643</v>
      </c>
      <c r="L38" s="24" t="n">
        <f aca="false">F38-E38</f>
        <v>30.3099999999995</v>
      </c>
      <c r="M38" s="26" t="n">
        <f aca="false">K38*L38</f>
        <v>0.264999028560322</v>
      </c>
    </row>
    <row r="39" customFormat="false" ht="15" hidden="false" customHeight="true" outlineLevel="0" collapsed="false">
      <c r="A39" s="19" t="n">
        <f aca="false">Pipe_Tally!A39</f>
        <v>38</v>
      </c>
      <c r="B39" s="19" t="str">
        <f aca="false">Pipe_Tally!D39</f>
        <v>5in HWDP, 49.3 ppf #19</v>
      </c>
      <c r="C39" s="26" t="n">
        <f aca="false">Pipe_Tally!F39</f>
        <v>5</v>
      </c>
      <c r="D39" s="26" t="n">
        <f aca="false">Pipe_Tally!G39</f>
        <v>3</v>
      </c>
      <c r="E39" s="24" t="n">
        <f aca="false">Pipe_Tally!L39</f>
        <v>11425.05</v>
      </c>
      <c r="F39" s="24" t="n">
        <f aca="false">Pipe_Tally!M39</f>
        <v>11455.55</v>
      </c>
      <c r="G39" s="24" t="n">
        <f aca="false">MAX(0,MIN(F39,Well_Data!$B$10)-MAX(E39,Well_Data!$B$23))</f>
        <v>30.5</v>
      </c>
      <c r="H39" s="26" t="n">
        <f aca="false">G39*(Well_Data!$B$26^2-C39^2)/1029.4</f>
        <v>1.39996599961142</v>
      </c>
      <c r="I39" s="24" t="n">
        <f aca="false">MAX(0,MIN(F39,Well_Data!$B$23)-E39)</f>
        <v>0</v>
      </c>
      <c r="J39" s="26" t="n">
        <f aca="false">I39*(Well_Data!$B$25^2-C39^2)/1029.4</f>
        <v>0</v>
      </c>
      <c r="K39" s="25" t="n">
        <f aca="false">D39^2/1029.4</f>
        <v>0.00874295706236643</v>
      </c>
      <c r="L39" s="24" t="n">
        <f aca="false">F39-E39</f>
        <v>30.5</v>
      </c>
      <c r="M39" s="26" t="n">
        <f aca="false">K39*L39</f>
        <v>0.266660190402176</v>
      </c>
    </row>
    <row r="40" customFormat="false" ht="15" hidden="false" customHeight="true" outlineLevel="0" collapsed="false">
      <c r="A40" s="19" t="n">
        <f aca="false">Pipe_Tally!A40</f>
        <v>39</v>
      </c>
      <c r="B40" s="19" t="str">
        <f aca="false">Pipe_Tally!D40</f>
        <v>5in HWDP, 49.3 ppf #20</v>
      </c>
      <c r="C40" s="26" t="n">
        <f aca="false">Pipe_Tally!F40</f>
        <v>5</v>
      </c>
      <c r="D40" s="26" t="n">
        <f aca="false">Pipe_Tally!G40</f>
        <v>3</v>
      </c>
      <c r="E40" s="24" t="n">
        <f aca="false">Pipe_Tally!L40</f>
        <v>11394.44</v>
      </c>
      <c r="F40" s="24" t="n">
        <f aca="false">Pipe_Tally!M40</f>
        <v>11425.05</v>
      </c>
      <c r="G40" s="24" t="n">
        <f aca="false">MAX(0,MIN(F40,Well_Data!$B$10)-MAX(E40,Well_Data!$B$23))</f>
        <v>30.6100000000006</v>
      </c>
      <c r="H40" s="26" t="n">
        <f aca="false">G40*(Well_Data!$B$26^2-C40^2)/1029.4</f>
        <v>1.40501505731497</v>
      </c>
      <c r="I40" s="24" t="n">
        <f aca="false">MAX(0,MIN(F40,Well_Data!$B$23)-E40)</f>
        <v>0</v>
      </c>
      <c r="J40" s="26" t="n">
        <f aca="false">I40*(Well_Data!$B$25^2-C40^2)/1029.4</f>
        <v>0</v>
      </c>
      <c r="K40" s="25" t="n">
        <f aca="false">D40^2/1029.4</f>
        <v>0.00874295706236643</v>
      </c>
      <c r="L40" s="24" t="n">
        <f aca="false">F40-E40</f>
        <v>30.6100000000006</v>
      </c>
      <c r="M40" s="26" t="n">
        <f aca="false">K40*L40</f>
        <v>0.267621915679041</v>
      </c>
    </row>
    <row r="41" customFormat="false" ht="15" hidden="false" customHeight="true" outlineLevel="0" collapsed="false">
      <c r="A41" s="19" t="n">
        <f aca="false">Pipe_Tally!A41</f>
        <v>40</v>
      </c>
      <c r="B41" s="19" t="str">
        <f aca="false">Pipe_Tally!D41</f>
        <v>5in HWDP, 49.3 ppf #21</v>
      </c>
      <c r="C41" s="26" t="n">
        <f aca="false">Pipe_Tally!F41</f>
        <v>5</v>
      </c>
      <c r="D41" s="26" t="n">
        <f aca="false">Pipe_Tally!G41</f>
        <v>3</v>
      </c>
      <c r="E41" s="24" t="n">
        <f aca="false">Pipe_Tally!L41</f>
        <v>11363.79</v>
      </c>
      <c r="F41" s="24" t="n">
        <f aca="false">Pipe_Tally!M41</f>
        <v>11394.44</v>
      </c>
      <c r="G41" s="24" t="n">
        <f aca="false">MAX(0,MIN(F41,Well_Data!$B$10)-MAX(E41,Well_Data!$B$23))</f>
        <v>30.6499999999996</v>
      </c>
      <c r="H41" s="26" t="n">
        <f aca="false">G41*(Well_Data!$B$26^2-C41^2)/1029.4</f>
        <v>1.40685107829802</v>
      </c>
      <c r="I41" s="24" t="n">
        <f aca="false">MAX(0,MIN(F41,Well_Data!$B$23)-E41)</f>
        <v>0</v>
      </c>
      <c r="J41" s="26" t="n">
        <f aca="false">I41*(Well_Data!$B$25^2-C41^2)/1029.4</f>
        <v>0</v>
      </c>
      <c r="K41" s="25" t="n">
        <f aca="false">D41^2/1029.4</f>
        <v>0.00874295706236643</v>
      </c>
      <c r="L41" s="24" t="n">
        <f aca="false">F41-E41</f>
        <v>30.6499999999996</v>
      </c>
      <c r="M41" s="26" t="n">
        <f aca="false">K41*L41</f>
        <v>0.267971633961528</v>
      </c>
    </row>
    <row r="42" customFormat="false" ht="15" hidden="false" customHeight="true" outlineLevel="0" collapsed="false">
      <c r="A42" s="19" t="n">
        <f aca="false">Pipe_Tally!A42</f>
        <v>41</v>
      </c>
      <c r="B42" s="19" t="str">
        <f aca="false">Pipe_Tally!D42</f>
        <v>5in 19.50 ppf S-135 drill pipe</v>
      </c>
      <c r="C42" s="26" t="n">
        <f aca="false">Pipe_Tally!F42</f>
        <v>5</v>
      </c>
      <c r="D42" s="26" t="n">
        <f aca="false">Pipe_Tally!G42</f>
        <v>4.276</v>
      </c>
      <c r="E42" s="24" t="n">
        <f aca="false">Pipe_Tally!L42</f>
        <v>11332.49</v>
      </c>
      <c r="F42" s="24" t="n">
        <f aca="false">Pipe_Tally!M42</f>
        <v>11363.79</v>
      </c>
      <c r="G42" s="24" t="n">
        <f aca="false">MAX(0,MIN(F42,Well_Data!$B$10)-MAX(E42,Well_Data!$B$23))</f>
        <v>31.2999999999993</v>
      </c>
      <c r="H42" s="26" t="n">
        <f aca="false">G42*(Well_Data!$B$26^2-C42^2)/1029.4</f>
        <v>1.43668641927333</v>
      </c>
      <c r="I42" s="24" t="n">
        <f aca="false">MAX(0,MIN(F42,Well_Data!$B$23)-E42)</f>
        <v>0</v>
      </c>
      <c r="J42" s="26" t="n">
        <f aca="false">I42*(Well_Data!$B$25^2-C42^2)/1029.4</f>
        <v>0</v>
      </c>
      <c r="K42" s="25" t="n">
        <f aca="false">D42^2/1029.4</f>
        <v>0.0177619739654167</v>
      </c>
      <c r="L42" s="24" t="n">
        <f aca="false">F42-E42</f>
        <v>31.2999999999993</v>
      </c>
      <c r="M42" s="26" t="n">
        <f aca="false">K42*L42</f>
        <v>0.555949785117531</v>
      </c>
    </row>
    <row r="43" customFormat="false" ht="15" hidden="false" customHeight="true" outlineLevel="0" collapsed="false">
      <c r="A43" s="19" t="n">
        <f aca="false">Pipe_Tally!A43</f>
        <v>42</v>
      </c>
      <c r="B43" s="19" t="str">
        <f aca="false">Pipe_Tally!D43</f>
        <v>5in 19.50 ppf S-135 drill pipe</v>
      </c>
      <c r="C43" s="26" t="n">
        <f aca="false">Pipe_Tally!F43</f>
        <v>5</v>
      </c>
      <c r="D43" s="26" t="n">
        <f aca="false">Pipe_Tally!G43</f>
        <v>4.276</v>
      </c>
      <c r="E43" s="24" t="n">
        <f aca="false">Pipe_Tally!L43</f>
        <v>11301.21</v>
      </c>
      <c r="F43" s="24" t="n">
        <f aca="false">Pipe_Tally!M43</f>
        <v>11332.49</v>
      </c>
      <c r="G43" s="24" t="n">
        <f aca="false">MAX(0,MIN(F43,Well_Data!$B$10)-MAX(E43,Well_Data!$B$23))</f>
        <v>31.2800000000007</v>
      </c>
      <c r="H43" s="26" t="n">
        <f aca="false">G43*(Well_Data!$B$26^2-C43^2)/1029.4</f>
        <v>1.43576840878184</v>
      </c>
      <c r="I43" s="24" t="n">
        <f aca="false">MAX(0,MIN(F43,Well_Data!$B$23)-E43)</f>
        <v>0</v>
      </c>
      <c r="J43" s="26" t="n">
        <f aca="false">I43*(Well_Data!$B$25^2-C43^2)/1029.4</f>
        <v>0</v>
      </c>
      <c r="K43" s="25" t="n">
        <f aca="false">D43^2/1029.4</f>
        <v>0.0177619739654167</v>
      </c>
      <c r="L43" s="24" t="n">
        <f aca="false">F43-E43</f>
        <v>31.2800000000007</v>
      </c>
      <c r="M43" s="26" t="n">
        <f aca="false">K43*L43</f>
        <v>0.555594545638247</v>
      </c>
    </row>
    <row r="44" customFormat="false" ht="15" hidden="false" customHeight="true" outlineLevel="0" collapsed="false">
      <c r="A44" s="19" t="n">
        <f aca="false">Pipe_Tally!A44</f>
        <v>43</v>
      </c>
      <c r="B44" s="19" t="str">
        <f aca="false">Pipe_Tally!D44</f>
        <v>5in 19.50 ppf S-135 drill pipe</v>
      </c>
      <c r="C44" s="26" t="n">
        <f aca="false">Pipe_Tally!F44</f>
        <v>5</v>
      </c>
      <c r="D44" s="26" t="n">
        <f aca="false">Pipe_Tally!G44</f>
        <v>4.276</v>
      </c>
      <c r="E44" s="24" t="n">
        <f aca="false">Pipe_Tally!L44</f>
        <v>11269.97</v>
      </c>
      <c r="F44" s="24" t="n">
        <f aca="false">Pipe_Tally!M44</f>
        <v>11301.21</v>
      </c>
      <c r="G44" s="24" t="n">
        <f aca="false">MAX(0,MIN(F44,Well_Data!$B$10)-MAX(E44,Well_Data!$B$23))</f>
        <v>31.2399999999998</v>
      </c>
      <c r="H44" s="26" t="n">
        <f aca="false">G44*(Well_Data!$B$26^2-C44^2)/1029.4</f>
        <v>1.43393238779871</v>
      </c>
      <c r="I44" s="24" t="n">
        <f aca="false">MAX(0,MIN(F44,Well_Data!$B$23)-E44)</f>
        <v>0</v>
      </c>
      <c r="J44" s="26" t="n">
        <f aca="false">I44*(Well_Data!$B$25^2-C44^2)/1029.4</f>
        <v>0</v>
      </c>
      <c r="K44" s="25" t="n">
        <f aca="false">D44^2/1029.4</f>
        <v>0.0177619739654167</v>
      </c>
      <c r="L44" s="24" t="n">
        <f aca="false">F44-E44</f>
        <v>31.2399999999998</v>
      </c>
      <c r="M44" s="26" t="n">
        <f aca="false">K44*L44</f>
        <v>0.554884066679615</v>
      </c>
    </row>
    <row r="45" customFormat="false" ht="15" hidden="false" customHeight="true" outlineLevel="0" collapsed="false">
      <c r="A45" s="19" t="n">
        <f aca="false">Pipe_Tally!A45</f>
        <v>44</v>
      </c>
      <c r="B45" s="19" t="str">
        <f aca="false">Pipe_Tally!D45</f>
        <v>5in 19.50 ppf S-135 drill pipe</v>
      </c>
      <c r="C45" s="26" t="n">
        <f aca="false">Pipe_Tally!F45</f>
        <v>5</v>
      </c>
      <c r="D45" s="26" t="n">
        <f aca="false">Pipe_Tally!G45</f>
        <v>4.276</v>
      </c>
      <c r="E45" s="24" t="n">
        <f aca="false">Pipe_Tally!L45</f>
        <v>11238.5</v>
      </c>
      <c r="F45" s="24" t="n">
        <f aca="false">Pipe_Tally!M45</f>
        <v>11269.97</v>
      </c>
      <c r="G45" s="24" t="n">
        <f aca="false">MAX(0,MIN(F45,Well_Data!$B$10)-MAX(E45,Well_Data!$B$23))</f>
        <v>31.4699999999993</v>
      </c>
      <c r="H45" s="26" t="n">
        <f aca="false">G45*(Well_Data!$B$26^2-C45^2)/1029.4</f>
        <v>1.4444895084515</v>
      </c>
      <c r="I45" s="24" t="n">
        <f aca="false">MAX(0,MIN(F45,Well_Data!$B$23)-E45)</f>
        <v>0</v>
      </c>
      <c r="J45" s="26" t="n">
        <f aca="false">I45*(Well_Data!$B$25^2-C45^2)/1029.4</f>
        <v>0</v>
      </c>
      <c r="K45" s="25" t="n">
        <f aca="false">D45^2/1029.4</f>
        <v>0.0177619739654167</v>
      </c>
      <c r="L45" s="24" t="n">
        <f aca="false">F45-E45</f>
        <v>31.4699999999993</v>
      </c>
      <c r="M45" s="26" t="n">
        <f aca="false">K45*L45</f>
        <v>0.558969320691653</v>
      </c>
    </row>
    <row r="46" customFormat="false" ht="15" hidden="false" customHeight="true" outlineLevel="0" collapsed="false">
      <c r="A46" s="19" t="n">
        <f aca="false">Pipe_Tally!A46</f>
        <v>45</v>
      </c>
      <c r="B46" s="19" t="str">
        <f aca="false">Pipe_Tally!D46</f>
        <v>5in 19.50 ppf S-135 drill pipe</v>
      </c>
      <c r="C46" s="26" t="n">
        <f aca="false">Pipe_Tally!F46</f>
        <v>5</v>
      </c>
      <c r="D46" s="26" t="n">
        <f aca="false">Pipe_Tally!G46</f>
        <v>4.276</v>
      </c>
      <c r="E46" s="24" t="n">
        <f aca="false">Pipe_Tally!L46</f>
        <v>11207.39</v>
      </c>
      <c r="F46" s="24" t="n">
        <f aca="false">Pipe_Tally!M46</f>
        <v>11238.5</v>
      </c>
      <c r="G46" s="24" t="n">
        <f aca="false">MAX(0,MIN(F46,Well_Data!$B$10)-MAX(E46,Well_Data!$B$23))</f>
        <v>31.1100000000006</v>
      </c>
      <c r="H46" s="26" t="n">
        <f aca="false">G46*(Well_Data!$B$26^2-C46^2)/1029.4</f>
        <v>1.42796531960368</v>
      </c>
      <c r="I46" s="24" t="n">
        <f aca="false">MAX(0,MIN(F46,Well_Data!$B$23)-E46)</f>
        <v>0</v>
      </c>
      <c r="J46" s="26" t="n">
        <f aca="false">I46*(Well_Data!$B$25^2-C46^2)/1029.4</f>
        <v>0</v>
      </c>
      <c r="K46" s="25" t="n">
        <f aca="false">D46^2/1029.4</f>
        <v>0.0177619739654167</v>
      </c>
      <c r="L46" s="24" t="n">
        <f aca="false">F46-E46</f>
        <v>31.1100000000006</v>
      </c>
      <c r="M46" s="26" t="n">
        <f aca="false">K46*L46</f>
        <v>0.552575010064125</v>
      </c>
    </row>
    <row r="47" customFormat="false" ht="15" hidden="false" customHeight="true" outlineLevel="0" collapsed="false">
      <c r="A47" s="19" t="n">
        <f aca="false">Pipe_Tally!A47</f>
        <v>46</v>
      </c>
      <c r="B47" s="19" t="str">
        <f aca="false">Pipe_Tally!D47</f>
        <v>5in 19.50 ppf S-135 drill pipe</v>
      </c>
      <c r="C47" s="26" t="n">
        <f aca="false">Pipe_Tally!F47</f>
        <v>5</v>
      </c>
      <c r="D47" s="26" t="n">
        <f aca="false">Pipe_Tally!G47</f>
        <v>4.276</v>
      </c>
      <c r="E47" s="24" t="n">
        <f aca="false">Pipe_Tally!L47</f>
        <v>11176.27</v>
      </c>
      <c r="F47" s="24" t="n">
        <f aca="false">Pipe_Tally!M47</f>
        <v>11207.39</v>
      </c>
      <c r="G47" s="24" t="n">
        <f aca="false">MAX(0,MIN(F47,Well_Data!$B$10)-MAX(E47,Well_Data!$B$23))</f>
        <v>31.1200000000008</v>
      </c>
      <c r="H47" s="26" t="n">
        <f aca="false">G47*(Well_Data!$B$26^2-C47^2)/1029.4</f>
        <v>1.42842432484946</v>
      </c>
      <c r="I47" s="24" t="n">
        <f aca="false">MAX(0,MIN(F47,Well_Data!$B$23)-E47)</f>
        <v>0</v>
      </c>
      <c r="J47" s="26" t="n">
        <f aca="false">I47*(Well_Data!$B$25^2-C47^2)/1029.4</f>
        <v>0</v>
      </c>
      <c r="K47" s="25" t="n">
        <f aca="false">D47^2/1029.4</f>
        <v>0.0177619739654167</v>
      </c>
      <c r="L47" s="24" t="n">
        <f aca="false">F47-E47</f>
        <v>31.1200000000008</v>
      </c>
      <c r="M47" s="26" t="n">
        <f aca="false">K47*L47</f>
        <v>0.552752629803783</v>
      </c>
    </row>
    <row r="48" customFormat="false" ht="15" hidden="false" customHeight="true" outlineLevel="0" collapsed="false">
      <c r="A48" s="19" t="n">
        <f aca="false">Pipe_Tally!A48</f>
        <v>47</v>
      </c>
      <c r="B48" s="19" t="str">
        <f aca="false">Pipe_Tally!D48</f>
        <v>5in 19.50 ppf S-135 drill pipe</v>
      </c>
      <c r="C48" s="26" t="n">
        <f aca="false">Pipe_Tally!F48</f>
        <v>5</v>
      </c>
      <c r="D48" s="26" t="n">
        <f aca="false">Pipe_Tally!G48</f>
        <v>4.276</v>
      </c>
      <c r="E48" s="24" t="n">
        <f aca="false">Pipe_Tally!L48</f>
        <v>11145.1</v>
      </c>
      <c r="F48" s="24" t="n">
        <f aca="false">Pipe_Tally!M48</f>
        <v>11176.27</v>
      </c>
      <c r="G48" s="24" t="n">
        <f aca="false">MAX(0,MIN(F48,Well_Data!$B$10)-MAX(E48,Well_Data!$B$23))</f>
        <v>31.1700000000001</v>
      </c>
      <c r="H48" s="26" t="n">
        <f aca="false">G48*(Well_Data!$B$26^2-C48^2)/1029.4</f>
        <v>1.4307193510783</v>
      </c>
      <c r="I48" s="24" t="n">
        <f aca="false">MAX(0,MIN(F48,Well_Data!$B$23)-E48)</f>
        <v>0</v>
      </c>
      <c r="J48" s="26" t="n">
        <f aca="false">I48*(Well_Data!$B$25^2-C48^2)/1029.4</f>
        <v>0</v>
      </c>
      <c r="K48" s="25" t="n">
        <f aca="false">D48^2/1029.4</f>
        <v>0.0177619739654167</v>
      </c>
      <c r="L48" s="24" t="n">
        <f aca="false">F48-E48</f>
        <v>31.1700000000001</v>
      </c>
      <c r="M48" s="26" t="n">
        <f aca="false">K48*L48</f>
        <v>0.553640728502041</v>
      </c>
    </row>
    <row r="49" customFormat="false" ht="15" hidden="false" customHeight="true" outlineLevel="0" collapsed="false">
      <c r="A49" s="19" t="n">
        <f aca="false">Pipe_Tally!A49</f>
        <v>48</v>
      </c>
      <c r="B49" s="19" t="str">
        <f aca="false">Pipe_Tally!D49</f>
        <v>5in 19.50 ppf S-135 drill pipe</v>
      </c>
      <c r="C49" s="26" t="n">
        <f aca="false">Pipe_Tally!F49</f>
        <v>5</v>
      </c>
      <c r="D49" s="26" t="n">
        <f aca="false">Pipe_Tally!G49</f>
        <v>4.276</v>
      </c>
      <c r="E49" s="24" t="n">
        <f aca="false">Pipe_Tally!L49</f>
        <v>11113.9</v>
      </c>
      <c r="F49" s="24" t="n">
        <f aca="false">Pipe_Tally!M49</f>
        <v>11145.1</v>
      </c>
      <c r="G49" s="24" t="n">
        <f aca="false">MAX(0,MIN(F49,Well_Data!$B$10)-MAX(E49,Well_Data!$B$23))</f>
        <v>31.2000000000007</v>
      </c>
      <c r="H49" s="26" t="n">
        <f aca="false">G49*(Well_Data!$B$26^2-C49^2)/1029.4</f>
        <v>1.43209636681565</v>
      </c>
      <c r="I49" s="24" t="n">
        <f aca="false">MAX(0,MIN(F49,Well_Data!$B$23)-E49)</f>
        <v>0</v>
      </c>
      <c r="J49" s="26" t="n">
        <f aca="false">I49*(Well_Data!$B$25^2-C49^2)/1029.4</f>
        <v>0</v>
      </c>
      <c r="K49" s="25" t="n">
        <f aca="false">D49^2/1029.4</f>
        <v>0.0177619739654167</v>
      </c>
      <c r="L49" s="24" t="n">
        <f aca="false">F49-E49</f>
        <v>31.2000000000007</v>
      </c>
      <c r="M49" s="26" t="n">
        <f aca="false">K49*L49</f>
        <v>0.554173587721015</v>
      </c>
    </row>
    <row r="50" customFormat="false" ht="15" hidden="false" customHeight="true" outlineLevel="0" collapsed="false">
      <c r="A50" s="19" t="n">
        <f aca="false">Pipe_Tally!A50</f>
        <v>49</v>
      </c>
      <c r="B50" s="19" t="str">
        <f aca="false">Pipe_Tally!D50</f>
        <v>5in 19.50 ppf S-135 drill pipe</v>
      </c>
      <c r="C50" s="26" t="n">
        <f aca="false">Pipe_Tally!F50</f>
        <v>5</v>
      </c>
      <c r="D50" s="26" t="n">
        <f aca="false">Pipe_Tally!G50</f>
        <v>4.276</v>
      </c>
      <c r="E50" s="24" t="n">
        <f aca="false">Pipe_Tally!L50</f>
        <v>11082.74</v>
      </c>
      <c r="F50" s="24" t="n">
        <f aca="false">Pipe_Tally!M50</f>
        <v>11113.9</v>
      </c>
      <c r="G50" s="24" t="n">
        <f aca="false">MAX(0,MIN(F50,Well_Data!$B$10)-MAX(E50,Well_Data!$B$23))</f>
        <v>31.1599999999999</v>
      </c>
      <c r="H50" s="26" t="n">
        <f aca="false">G50*(Well_Data!$B$26^2-C50^2)/1029.4</f>
        <v>1.43026034583252</v>
      </c>
      <c r="I50" s="24" t="n">
        <f aca="false">MAX(0,MIN(F50,Well_Data!$B$23)-E50)</f>
        <v>0</v>
      </c>
      <c r="J50" s="26" t="n">
        <f aca="false">I50*(Well_Data!$B$25^2-C50^2)/1029.4</f>
        <v>0</v>
      </c>
      <c r="K50" s="25" t="n">
        <f aca="false">D50^2/1029.4</f>
        <v>0.0177619739654167</v>
      </c>
      <c r="L50" s="24" t="n">
        <f aca="false">F50-E50</f>
        <v>31.1599999999999</v>
      </c>
      <c r="M50" s="26" t="n">
        <f aca="false">K50*L50</f>
        <v>0.553463108762383</v>
      </c>
    </row>
    <row r="51" customFormat="false" ht="15" hidden="false" customHeight="true" outlineLevel="0" collapsed="false">
      <c r="A51" s="19" t="n">
        <f aca="false">Pipe_Tally!A51</f>
        <v>50</v>
      </c>
      <c r="B51" s="19" t="str">
        <f aca="false">Pipe_Tally!D51</f>
        <v>5in 19.50 ppf S-135 drill pipe</v>
      </c>
      <c r="C51" s="26" t="n">
        <f aca="false">Pipe_Tally!F51</f>
        <v>5</v>
      </c>
      <c r="D51" s="26" t="n">
        <f aca="false">Pipe_Tally!G51</f>
        <v>4.276</v>
      </c>
      <c r="E51" s="24" t="n">
        <f aca="false">Pipe_Tally!L51</f>
        <v>11051.27</v>
      </c>
      <c r="F51" s="24" t="n">
        <f aca="false">Pipe_Tally!M51</f>
        <v>11082.74</v>
      </c>
      <c r="G51" s="24" t="n">
        <f aca="false">MAX(0,MIN(F51,Well_Data!$B$10)-MAX(E51,Well_Data!$B$23))</f>
        <v>31.4699999999993</v>
      </c>
      <c r="H51" s="26" t="n">
        <f aca="false">G51*(Well_Data!$B$26^2-C51^2)/1029.4</f>
        <v>1.4444895084515</v>
      </c>
      <c r="I51" s="24" t="n">
        <f aca="false">MAX(0,MIN(F51,Well_Data!$B$23)-E51)</f>
        <v>0</v>
      </c>
      <c r="J51" s="26" t="n">
        <f aca="false">I51*(Well_Data!$B$25^2-C51^2)/1029.4</f>
        <v>0</v>
      </c>
      <c r="K51" s="25" t="n">
        <f aca="false">D51^2/1029.4</f>
        <v>0.0177619739654167</v>
      </c>
      <c r="L51" s="24" t="n">
        <f aca="false">F51-E51</f>
        <v>31.4699999999993</v>
      </c>
      <c r="M51" s="26" t="n">
        <f aca="false">K51*L51</f>
        <v>0.558969320691653</v>
      </c>
    </row>
    <row r="52" customFormat="false" ht="15" hidden="false" customHeight="true" outlineLevel="0" collapsed="false">
      <c r="A52" s="19" t="n">
        <f aca="false">Pipe_Tally!A52</f>
        <v>51</v>
      </c>
      <c r="B52" s="19" t="str">
        <f aca="false">Pipe_Tally!D52</f>
        <v>5in 19.50 ppf S-135 drill pipe</v>
      </c>
      <c r="C52" s="26" t="n">
        <f aca="false">Pipe_Tally!F52</f>
        <v>5</v>
      </c>
      <c r="D52" s="26" t="n">
        <f aca="false">Pipe_Tally!G52</f>
        <v>4.276</v>
      </c>
      <c r="E52" s="24" t="n">
        <f aca="false">Pipe_Tally!L52</f>
        <v>11020.3</v>
      </c>
      <c r="F52" s="24" t="n">
        <f aca="false">Pipe_Tally!M52</f>
        <v>11051.27</v>
      </c>
      <c r="G52" s="24" t="n">
        <f aca="false">MAX(0,MIN(F52,Well_Data!$B$10)-MAX(E52,Well_Data!$B$23))</f>
        <v>30.9699999999993</v>
      </c>
      <c r="H52" s="26" t="n">
        <f aca="false">G52*(Well_Data!$B$26^2-C52^2)/1029.4</f>
        <v>1.42153924616278</v>
      </c>
      <c r="I52" s="24" t="n">
        <f aca="false">MAX(0,MIN(F52,Well_Data!$B$23)-E52)</f>
        <v>0</v>
      </c>
      <c r="J52" s="26" t="n">
        <f aca="false">I52*(Well_Data!$B$25^2-C52^2)/1029.4</f>
        <v>0</v>
      </c>
      <c r="K52" s="25" t="n">
        <f aca="false">D52^2/1029.4</f>
        <v>0.0177619739654167</v>
      </c>
      <c r="L52" s="24" t="n">
        <f aca="false">F52-E52</f>
        <v>30.9699999999993</v>
      </c>
      <c r="M52" s="26" t="n">
        <f aca="false">K52*L52</f>
        <v>0.550088333708945</v>
      </c>
    </row>
    <row r="53" customFormat="false" ht="15" hidden="false" customHeight="true" outlineLevel="0" collapsed="false">
      <c r="A53" s="19" t="n">
        <f aca="false">Pipe_Tally!A53</f>
        <v>52</v>
      </c>
      <c r="B53" s="19" t="str">
        <f aca="false">Pipe_Tally!D53</f>
        <v>5in 19.50 ppf S-135 drill pipe</v>
      </c>
      <c r="C53" s="26" t="n">
        <f aca="false">Pipe_Tally!F53</f>
        <v>5</v>
      </c>
      <c r="D53" s="26" t="n">
        <f aca="false">Pipe_Tally!G53</f>
        <v>4.276</v>
      </c>
      <c r="E53" s="24" t="n">
        <f aca="false">Pipe_Tally!L53</f>
        <v>10988.86</v>
      </c>
      <c r="F53" s="24" t="n">
        <f aca="false">Pipe_Tally!M53</f>
        <v>11020.3</v>
      </c>
      <c r="G53" s="24" t="n">
        <f aca="false">MAX(0,MIN(F53,Well_Data!$B$10)-MAX(E53,Well_Data!$B$23))</f>
        <v>31.4400000000005</v>
      </c>
      <c r="H53" s="26" t="n">
        <f aca="false">G53*(Well_Data!$B$26^2-C53^2)/1029.4</f>
        <v>1.44311249271423</v>
      </c>
      <c r="I53" s="24" t="n">
        <f aca="false">MAX(0,MIN(F53,Well_Data!$B$23)-E53)</f>
        <v>0</v>
      </c>
      <c r="J53" s="26" t="n">
        <f aca="false">I53*(Well_Data!$B$25^2-C53^2)/1029.4</f>
        <v>0</v>
      </c>
      <c r="K53" s="25" t="n">
        <f aca="false">D53^2/1029.4</f>
        <v>0.0177619739654167</v>
      </c>
      <c r="L53" s="24" t="n">
        <f aca="false">F53-E53</f>
        <v>31.4400000000005</v>
      </c>
      <c r="M53" s="26" t="n">
        <f aca="false">K53*L53</f>
        <v>0.558436461472711</v>
      </c>
    </row>
    <row r="54" customFormat="false" ht="15" hidden="false" customHeight="true" outlineLevel="0" collapsed="false">
      <c r="A54" s="19" t="n">
        <f aca="false">Pipe_Tally!A54</f>
        <v>53</v>
      </c>
      <c r="B54" s="19" t="str">
        <f aca="false">Pipe_Tally!D54</f>
        <v>5in 19.50 ppf S-135 drill pipe</v>
      </c>
      <c r="C54" s="26" t="n">
        <f aca="false">Pipe_Tally!F54</f>
        <v>5</v>
      </c>
      <c r="D54" s="26" t="n">
        <f aca="false">Pipe_Tally!G54</f>
        <v>4.276</v>
      </c>
      <c r="E54" s="24" t="n">
        <f aca="false">Pipe_Tally!L54</f>
        <v>10957.62</v>
      </c>
      <c r="F54" s="24" t="n">
        <f aca="false">Pipe_Tally!M54</f>
        <v>10988.86</v>
      </c>
      <c r="G54" s="24" t="n">
        <f aca="false">MAX(0,MIN(F54,Well_Data!$B$10)-MAX(E54,Well_Data!$B$23))</f>
        <v>31.2399999999998</v>
      </c>
      <c r="H54" s="26" t="n">
        <f aca="false">G54*(Well_Data!$B$26^2-C54^2)/1029.4</f>
        <v>1.43393238779871</v>
      </c>
      <c r="I54" s="24" t="n">
        <f aca="false">MAX(0,MIN(F54,Well_Data!$B$23)-E54)</f>
        <v>0</v>
      </c>
      <c r="J54" s="26" t="n">
        <f aca="false">I54*(Well_Data!$B$25^2-C54^2)/1029.4</f>
        <v>0</v>
      </c>
      <c r="K54" s="25" t="n">
        <f aca="false">D54^2/1029.4</f>
        <v>0.0177619739654167</v>
      </c>
      <c r="L54" s="24" t="n">
        <f aca="false">F54-E54</f>
        <v>31.2399999999998</v>
      </c>
      <c r="M54" s="26" t="n">
        <f aca="false">K54*L54</f>
        <v>0.554884066679615</v>
      </c>
    </row>
    <row r="55" customFormat="false" ht="15" hidden="false" customHeight="true" outlineLevel="0" collapsed="false">
      <c r="A55" s="19" t="n">
        <f aca="false">Pipe_Tally!A55</f>
        <v>54</v>
      </c>
      <c r="B55" s="19" t="str">
        <f aca="false">Pipe_Tally!D55</f>
        <v>5in 19.50 ppf S-135 drill pipe</v>
      </c>
      <c r="C55" s="26" t="n">
        <f aca="false">Pipe_Tally!F55</f>
        <v>5</v>
      </c>
      <c r="D55" s="26" t="n">
        <f aca="false">Pipe_Tally!G55</f>
        <v>4.276</v>
      </c>
      <c r="E55" s="24" t="n">
        <f aca="false">Pipe_Tally!L55</f>
        <v>10926.39</v>
      </c>
      <c r="F55" s="24" t="n">
        <f aca="false">Pipe_Tally!M55</f>
        <v>10957.62</v>
      </c>
      <c r="G55" s="24" t="n">
        <f aca="false">MAX(0,MIN(F55,Well_Data!$B$10)-MAX(E55,Well_Data!$B$23))</f>
        <v>31.2299999999996</v>
      </c>
      <c r="H55" s="26" t="n">
        <f aca="false">G55*(Well_Data!$B$26^2-C55^2)/1029.4</f>
        <v>1.43347338255292</v>
      </c>
      <c r="I55" s="24" t="n">
        <f aca="false">MAX(0,MIN(F55,Well_Data!$B$23)-E55)</f>
        <v>0</v>
      </c>
      <c r="J55" s="26" t="n">
        <f aca="false">I55*(Well_Data!$B$25^2-C55^2)/1029.4</f>
        <v>0</v>
      </c>
      <c r="K55" s="25" t="n">
        <f aca="false">D55^2/1029.4</f>
        <v>0.0177619739654167</v>
      </c>
      <c r="L55" s="24" t="n">
        <f aca="false">F55-E55</f>
        <v>31.2299999999996</v>
      </c>
      <c r="M55" s="26" t="n">
        <f aca="false">K55*L55</f>
        <v>0.554706446939957</v>
      </c>
    </row>
    <row r="56" customFormat="false" ht="15" hidden="false" customHeight="true" outlineLevel="0" collapsed="false">
      <c r="A56" s="19" t="n">
        <f aca="false">Pipe_Tally!A56</f>
        <v>55</v>
      </c>
      <c r="B56" s="19" t="str">
        <f aca="false">Pipe_Tally!D56</f>
        <v>5in 19.50 ppf S-135 drill pipe</v>
      </c>
      <c r="C56" s="26" t="n">
        <f aca="false">Pipe_Tally!F56</f>
        <v>5</v>
      </c>
      <c r="D56" s="26" t="n">
        <f aca="false">Pipe_Tally!G56</f>
        <v>4.276</v>
      </c>
      <c r="E56" s="24" t="n">
        <f aca="false">Pipe_Tally!L56</f>
        <v>10895.64</v>
      </c>
      <c r="F56" s="24" t="n">
        <f aca="false">Pipe_Tally!M56</f>
        <v>10926.39</v>
      </c>
      <c r="G56" s="24" t="n">
        <f aca="false">MAX(0,MIN(F56,Well_Data!$B$10)-MAX(E56,Well_Data!$B$23))</f>
        <v>30.75</v>
      </c>
      <c r="H56" s="26" t="n">
        <f aca="false">G56*(Well_Data!$B$26^2-C56^2)/1029.4</f>
        <v>1.41144113075578</v>
      </c>
      <c r="I56" s="24" t="n">
        <f aca="false">MAX(0,MIN(F56,Well_Data!$B$23)-E56)</f>
        <v>0</v>
      </c>
      <c r="J56" s="26" t="n">
        <f aca="false">I56*(Well_Data!$B$25^2-C56^2)/1029.4</f>
        <v>0</v>
      </c>
      <c r="K56" s="25" t="n">
        <f aca="false">D56^2/1029.4</f>
        <v>0.0177619739654167</v>
      </c>
      <c r="L56" s="24" t="n">
        <f aca="false">F56-E56</f>
        <v>30.75</v>
      </c>
      <c r="M56" s="26" t="n">
        <f aca="false">K56*L56</f>
        <v>0.546180699436565</v>
      </c>
    </row>
    <row r="57" customFormat="false" ht="15" hidden="false" customHeight="true" outlineLevel="0" collapsed="false">
      <c r="A57" s="19" t="n">
        <f aca="false">Pipe_Tally!A57</f>
        <v>56</v>
      </c>
      <c r="B57" s="19" t="str">
        <f aca="false">Pipe_Tally!D57</f>
        <v>5in 19.50 ppf S-135 drill pipe</v>
      </c>
      <c r="C57" s="26" t="n">
        <f aca="false">Pipe_Tally!F57</f>
        <v>5</v>
      </c>
      <c r="D57" s="26" t="n">
        <f aca="false">Pipe_Tally!G57</f>
        <v>4.276</v>
      </c>
      <c r="E57" s="24" t="n">
        <f aca="false">Pipe_Tally!L57</f>
        <v>10864.7</v>
      </c>
      <c r="F57" s="24" t="n">
        <f aca="false">Pipe_Tally!M57</f>
        <v>10895.64</v>
      </c>
      <c r="G57" s="24" t="n">
        <f aca="false">MAX(0,MIN(F57,Well_Data!$B$10)-MAX(E57,Well_Data!$B$23))</f>
        <v>30.9400000000005</v>
      </c>
      <c r="H57" s="26" t="n">
        <f aca="false">G57*(Well_Data!$B$26^2-C57^2)/1029.4</f>
        <v>1.42016223042551</v>
      </c>
      <c r="I57" s="24" t="n">
        <f aca="false">MAX(0,MIN(F57,Well_Data!$B$23)-E57)</f>
        <v>0</v>
      </c>
      <c r="J57" s="26" t="n">
        <f aca="false">I57*(Well_Data!$B$25^2-C57^2)/1029.4</f>
        <v>0</v>
      </c>
      <c r="K57" s="25" t="n">
        <f aca="false">D57^2/1029.4</f>
        <v>0.0177619739654167</v>
      </c>
      <c r="L57" s="24" t="n">
        <f aca="false">F57-E57</f>
        <v>30.9400000000005</v>
      </c>
      <c r="M57" s="26" t="n">
        <f aca="false">K57*L57</f>
        <v>0.549555474490003</v>
      </c>
    </row>
    <row r="58" customFormat="false" ht="15" hidden="false" customHeight="true" outlineLevel="0" collapsed="false">
      <c r="A58" s="19" t="n">
        <f aca="false">Pipe_Tally!A58</f>
        <v>57</v>
      </c>
      <c r="B58" s="19" t="str">
        <f aca="false">Pipe_Tally!D58</f>
        <v>5in 19.50 ppf S-135 drill pipe</v>
      </c>
      <c r="C58" s="26" t="n">
        <f aca="false">Pipe_Tally!F58</f>
        <v>5</v>
      </c>
      <c r="D58" s="26" t="n">
        <f aca="false">Pipe_Tally!G58</f>
        <v>4.276</v>
      </c>
      <c r="E58" s="24" t="n">
        <f aca="false">Pipe_Tally!L58</f>
        <v>10833.44</v>
      </c>
      <c r="F58" s="24" t="n">
        <f aca="false">Pipe_Tally!M58</f>
        <v>10864.7</v>
      </c>
      <c r="G58" s="24" t="n">
        <f aca="false">MAX(0,MIN(F58,Well_Data!$B$10)-MAX(E58,Well_Data!$B$23))</f>
        <v>31.2600000000002</v>
      </c>
      <c r="H58" s="26" t="n">
        <f aca="false">G58*(Well_Data!$B$26^2-C58^2)/1029.4</f>
        <v>1.43485039829028</v>
      </c>
      <c r="I58" s="24" t="n">
        <f aca="false">MAX(0,MIN(F58,Well_Data!$B$23)-E58)</f>
        <v>0</v>
      </c>
      <c r="J58" s="26" t="n">
        <f aca="false">I58*(Well_Data!$B$25^2-C58^2)/1029.4</f>
        <v>0</v>
      </c>
      <c r="K58" s="25" t="n">
        <f aca="false">D58^2/1029.4</f>
        <v>0.0177619739654167</v>
      </c>
      <c r="L58" s="24" t="n">
        <f aca="false">F58-E58</f>
        <v>31.2600000000002</v>
      </c>
      <c r="M58" s="26" t="n">
        <f aca="false">K58*L58</f>
        <v>0.555239306158931</v>
      </c>
    </row>
    <row r="59" customFormat="false" ht="15" hidden="false" customHeight="true" outlineLevel="0" collapsed="false">
      <c r="A59" s="19" t="n">
        <f aca="false">Pipe_Tally!A59</f>
        <v>58</v>
      </c>
      <c r="B59" s="19" t="str">
        <f aca="false">Pipe_Tally!D59</f>
        <v>5in 19.50 ppf S-135 drill pipe</v>
      </c>
      <c r="C59" s="26" t="n">
        <f aca="false">Pipe_Tally!F59</f>
        <v>5</v>
      </c>
      <c r="D59" s="26" t="n">
        <f aca="false">Pipe_Tally!G59</f>
        <v>4.276</v>
      </c>
      <c r="E59" s="24" t="n">
        <f aca="false">Pipe_Tally!L59</f>
        <v>10802.2</v>
      </c>
      <c r="F59" s="24" t="n">
        <f aca="false">Pipe_Tally!M59</f>
        <v>10833.44</v>
      </c>
      <c r="G59" s="24" t="n">
        <f aca="false">MAX(0,MIN(F59,Well_Data!$B$10)-MAX(E59,Well_Data!$B$23))</f>
        <v>31.2399999999998</v>
      </c>
      <c r="H59" s="26" t="n">
        <f aca="false">G59*(Well_Data!$B$26^2-C59^2)/1029.4</f>
        <v>1.43393238779871</v>
      </c>
      <c r="I59" s="24" t="n">
        <f aca="false">MAX(0,MIN(F59,Well_Data!$B$23)-E59)</f>
        <v>0</v>
      </c>
      <c r="J59" s="26" t="n">
        <f aca="false">I59*(Well_Data!$B$25^2-C59^2)/1029.4</f>
        <v>0</v>
      </c>
      <c r="K59" s="25" t="n">
        <f aca="false">D59^2/1029.4</f>
        <v>0.0177619739654167</v>
      </c>
      <c r="L59" s="24" t="n">
        <f aca="false">F59-E59</f>
        <v>31.2399999999998</v>
      </c>
      <c r="M59" s="26" t="n">
        <f aca="false">K59*L59</f>
        <v>0.554884066679615</v>
      </c>
    </row>
    <row r="60" customFormat="false" ht="15" hidden="false" customHeight="true" outlineLevel="0" collapsed="false">
      <c r="A60" s="19" t="n">
        <f aca="false">Pipe_Tally!A60</f>
        <v>59</v>
      </c>
      <c r="B60" s="19" t="str">
        <f aca="false">Pipe_Tally!D60</f>
        <v>5in 19.50 ppf S-135 drill pipe</v>
      </c>
      <c r="C60" s="26" t="n">
        <f aca="false">Pipe_Tally!F60</f>
        <v>5</v>
      </c>
      <c r="D60" s="26" t="n">
        <f aca="false">Pipe_Tally!G60</f>
        <v>4.276</v>
      </c>
      <c r="E60" s="24" t="n">
        <f aca="false">Pipe_Tally!L60</f>
        <v>10770.93</v>
      </c>
      <c r="F60" s="24" t="n">
        <f aca="false">Pipe_Tally!M60</f>
        <v>10802.2</v>
      </c>
      <c r="G60" s="24" t="n">
        <f aca="false">MAX(0,MIN(F60,Well_Data!$B$10)-MAX(E60,Well_Data!$B$23))</f>
        <v>31.2700000000004</v>
      </c>
      <c r="H60" s="26" t="n">
        <f aca="false">G60*(Well_Data!$B$26^2-C60^2)/1029.4</f>
        <v>1.43530940353606</v>
      </c>
      <c r="I60" s="24" t="n">
        <f aca="false">MAX(0,MIN(F60,Well_Data!$B$23)-E60)</f>
        <v>0</v>
      </c>
      <c r="J60" s="26" t="n">
        <f aca="false">I60*(Well_Data!$B$25^2-C60^2)/1029.4</f>
        <v>0</v>
      </c>
      <c r="K60" s="25" t="n">
        <f aca="false">D60^2/1029.4</f>
        <v>0.0177619739654167</v>
      </c>
      <c r="L60" s="24" t="n">
        <f aca="false">F60-E60</f>
        <v>31.2700000000004</v>
      </c>
      <c r="M60" s="26" t="n">
        <f aca="false">K60*L60</f>
        <v>0.555416925898589</v>
      </c>
    </row>
    <row r="61" customFormat="false" ht="15" hidden="false" customHeight="true" outlineLevel="0" collapsed="false">
      <c r="A61" s="19" t="n">
        <f aca="false">Pipe_Tally!A61</f>
        <v>60</v>
      </c>
      <c r="B61" s="19" t="str">
        <f aca="false">Pipe_Tally!D61</f>
        <v>5in 19.50 ppf S-135 drill pipe</v>
      </c>
      <c r="C61" s="26" t="n">
        <f aca="false">Pipe_Tally!F61</f>
        <v>5</v>
      </c>
      <c r="D61" s="26" t="n">
        <f aca="false">Pipe_Tally!G61</f>
        <v>4.276</v>
      </c>
      <c r="E61" s="24" t="n">
        <f aca="false">Pipe_Tally!L61</f>
        <v>10739.62</v>
      </c>
      <c r="F61" s="24" t="n">
        <f aca="false">Pipe_Tally!M61</f>
        <v>10770.93</v>
      </c>
      <c r="G61" s="24" t="n">
        <f aca="false">MAX(0,MIN(F61,Well_Data!$B$10)-MAX(E61,Well_Data!$B$23))</f>
        <v>31.3099999999995</v>
      </c>
      <c r="H61" s="26" t="n">
        <f aca="false">G61*(Well_Data!$B$26^2-C61^2)/1029.4</f>
        <v>1.43714542451911</v>
      </c>
      <c r="I61" s="24" t="n">
        <f aca="false">MAX(0,MIN(F61,Well_Data!$B$23)-E61)</f>
        <v>0</v>
      </c>
      <c r="J61" s="26" t="n">
        <f aca="false">I61*(Well_Data!$B$25^2-C61^2)/1029.4</f>
        <v>0</v>
      </c>
      <c r="K61" s="25" t="n">
        <f aca="false">D61^2/1029.4</f>
        <v>0.0177619739654167</v>
      </c>
      <c r="L61" s="24" t="n">
        <f aca="false">F61-E61</f>
        <v>31.3099999999995</v>
      </c>
      <c r="M61" s="26" t="n">
        <f aca="false">K61*L61</f>
        <v>0.556127404857189</v>
      </c>
    </row>
    <row r="62" customFormat="false" ht="15" hidden="false" customHeight="true" outlineLevel="0" collapsed="false">
      <c r="A62" s="19" t="n">
        <f aca="false">Pipe_Tally!A62</f>
        <v>61</v>
      </c>
      <c r="B62" s="19" t="str">
        <f aca="false">Pipe_Tally!D62</f>
        <v>5in 19.50 ppf S-135 drill pipe</v>
      </c>
      <c r="C62" s="26" t="n">
        <f aca="false">Pipe_Tally!F62</f>
        <v>5</v>
      </c>
      <c r="D62" s="26" t="n">
        <f aca="false">Pipe_Tally!G62</f>
        <v>4.276</v>
      </c>
      <c r="E62" s="24" t="n">
        <f aca="false">Pipe_Tally!L62</f>
        <v>10708.4</v>
      </c>
      <c r="F62" s="24" t="n">
        <f aca="false">Pipe_Tally!M62</f>
        <v>10739.62</v>
      </c>
      <c r="G62" s="24" t="n">
        <f aca="false">MAX(0,MIN(F62,Well_Data!$B$10)-MAX(E62,Well_Data!$B$23))</f>
        <v>31.2199999999993</v>
      </c>
      <c r="H62" s="26" t="n">
        <f aca="false">G62*(Well_Data!$B$26^2-C62^2)/1029.4</f>
        <v>1.43301437730714</v>
      </c>
      <c r="I62" s="24" t="n">
        <f aca="false">MAX(0,MIN(F62,Well_Data!$B$23)-E62)</f>
        <v>0</v>
      </c>
      <c r="J62" s="26" t="n">
        <f aca="false">I62*(Well_Data!$B$25^2-C62^2)/1029.4</f>
        <v>0</v>
      </c>
      <c r="K62" s="25" t="n">
        <f aca="false">D62^2/1029.4</f>
        <v>0.0177619739654167</v>
      </c>
      <c r="L62" s="24" t="n">
        <f aca="false">F62-E62</f>
        <v>31.2199999999993</v>
      </c>
      <c r="M62" s="26" t="n">
        <f aca="false">K62*L62</f>
        <v>0.554528827200299</v>
      </c>
    </row>
    <row r="63" customFormat="false" ht="15" hidden="false" customHeight="true" outlineLevel="0" collapsed="false">
      <c r="A63" s="19" t="n">
        <f aca="false">Pipe_Tally!A63</f>
        <v>62</v>
      </c>
      <c r="B63" s="19" t="str">
        <f aca="false">Pipe_Tally!D63</f>
        <v>5in 19.50 ppf S-135 drill pipe</v>
      </c>
      <c r="C63" s="26" t="n">
        <f aca="false">Pipe_Tally!F63</f>
        <v>5</v>
      </c>
      <c r="D63" s="26" t="n">
        <f aca="false">Pipe_Tally!G63</f>
        <v>4.276</v>
      </c>
      <c r="E63" s="24" t="n">
        <f aca="false">Pipe_Tally!L63</f>
        <v>10677.29</v>
      </c>
      <c r="F63" s="24" t="n">
        <f aca="false">Pipe_Tally!M63</f>
        <v>10708.4</v>
      </c>
      <c r="G63" s="24" t="n">
        <f aca="false">MAX(0,MIN(F63,Well_Data!$B$10)-MAX(E63,Well_Data!$B$23))</f>
        <v>31.1100000000006</v>
      </c>
      <c r="H63" s="26" t="n">
        <f aca="false">G63*(Well_Data!$B$26^2-C63^2)/1029.4</f>
        <v>1.42796531960368</v>
      </c>
      <c r="I63" s="24" t="n">
        <f aca="false">MAX(0,MIN(F63,Well_Data!$B$23)-E63)</f>
        <v>0</v>
      </c>
      <c r="J63" s="26" t="n">
        <f aca="false">I63*(Well_Data!$B$25^2-C63^2)/1029.4</f>
        <v>0</v>
      </c>
      <c r="K63" s="25" t="n">
        <f aca="false">D63^2/1029.4</f>
        <v>0.0177619739654167</v>
      </c>
      <c r="L63" s="24" t="n">
        <f aca="false">F63-E63</f>
        <v>31.1100000000006</v>
      </c>
      <c r="M63" s="26" t="n">
        <f aca="false">K63*L63</f>
        <v>0.552575010064125</v>
      </c>
    </row>
    <row r="64" customFormat="false" ht="15" hidden="false" customHeight="true" outlineLevel="0" collapsed="false">
      <c r="A64" s="19" t="n">
        <f aca="false">Pipe_Tally!A64</f>
        <v>63</v>
      </c>
      <c r="B64" s="19" t="str">
        <f aca="false">Pipe_Tally!D64</f>
        <v>5in 19.50 ppf S-135 drill pipe</v>
      </c>
      <c r="C64" s="26" t="n">
        <f aca="false">Pipe_Tally!F64</f>
        <v>5</v>
      </c>
      <c r="D64" s="26" t="n">
        <f aca="false">Pipe_Tally!G64</f>
        <v>4.276</v>
      </c>
      <c r="E64" s="24" t="n">
        <f aca="false">Pipe_Tally!L64</f>
        <v>10646.31</v>
      </c>
      <c r="F64" s="24" t="n">
        <f aca="false">Pipe_Tally!M64</f>
        <v>10677.29</v>
      </c>
      <c r="G64" s="24" t="n">
        <f aca="false">MAX(0,MIN(F64,Well_Data!$B$10)-MAX(E64,Well_Data!$B$23))</f>
        <v>30.9799999999996</v>
      </c>
      <c r="H64" s="26" t="n">
        <f aca="false">G64*(Well_Data!$B$26^2-C64^2)/1029.4</f>
        <v>1.42199825140857</v>
      </c>
      <c r="I64" s="24" t="n">
        <f aca="false">MAX(0,MIN(F64,Well_Data!$B$23)-E64)</f>
        <v>0</v>
      </c>
      <c r="J64" s="26" t="n">
        <f aca="false">I64*(Well_Data!$B$25^2-C64^2)/1029.4</f>
        <v>0</v>
      </c>
      <c r="K64" s="25" t="n">
        <f aca="false">D64^2/1029.4</f>
        <v>0.0177619739654167</v>
      </c>
      <c r="L64" s="24" t="n">
        <f aca="false">F64-E64</f>
        <v>30.9799999999996</v>
      </c>
      <c r="M64" s="26" t="n">
        <f aca="false">K64*L64</f>
        <v>0.550265953448603</v>
      </c>
    </row>
    <row r="65" customFormat="false" ht="15" hidden="false" customHeight="true" outlineLevel="0" collapsed="false">
      <c r="A65" s="19" t="n">
        <f aca="false">Pipe_Tally!A65</f>
        <v>64</v>
      </c>
      <c r="B65" s="19" t="str">
        <f aca="false">Pipe_Tally!D65</f>
        <v>5in 19.50 ppf S-135 drill pipe</v>
      </c>
      <c r="C65" s="26" t="n">
        <f aca="false">Pipe_Tally!F65</f>
        <v>5</v>
      </c>
      <c r="D65" s="26" t="n">
        <f aca="false">Pipe_Tally!G65</f>
        <v>4.276</v>
      </c>
      <c r="E65" s="24" t="n">
        <f aca="false">Pipe_Tally!L65</f>
        <v>10614.71</v>
      </c>
      <c r="F65" s="24" t="n">
        <f aca="false">Pipe_Tally!M65</f>
        <v>10646.31</v>
      </c>
      <c r="G65" s="24" t="n">
        <f aca="false">MAX(0,MIN(F65,Well_Data!$B$10)-MAX(E65,Well_Data!$B$23))</f>
        <v>31.6000000000004</v>
      </c>
      <c r="H65" s="26" t="n">
        <f aca="false">G65*(Well_Data!$B$26^2-C65^2)/1029.4</f>
        <v>1.45045657664661</v>
      </c>
      <c r="I65" s="24" t="n">
        <f aca="false">MAX(0,MIN(F65,Well_Data!$B$23)-E65)</f>
        <v>0</v>
      </c>
      <c r="J65" s="26" t="n">
        <f aca="false">I65*(Well_Data!$B$25^2-C65^2)/1029.4</f>
        <v>0</v>
      </c>
      <c r="K65" s="25" t="n">
        <f aca="false">D65^2/1029.4</f>
        <v>0.0177619739654167</v>
      </c>
      <c r="L65" s="24" t="n">
        <f aca="false">F65-E65</f>
        <v>31.6000000000004</v>
      </c>
      <c r="M65" s="26" t="n">
        <f aca="false">K65*L65</f>
        <v>0.561278377307176</v>
      </c>
    </row>
    <row r="66" customFormat="false" ht="15" hidden="false" customHeight="true" outlineLevel="0" collapsed="false">
      <c r="A66" s="19" t="n">
        <f aca="false">Pipe_Tally!A66</f>
        <v>65</v>
      </c>
      <c r="B66" s="19" t="str">
        <f aca="false">Pipe_Tally!D66</f>
        <v>5in 19.50 ppf S-135 drill pipe</v>
      </c>
      <c r="C66" s="26" t="n">
        <f aca="false">Pipe_Tally!F66</f>
        <v>5</v>
      </c>
      <c r="D66" s="26" t="n">
        <f aca="false">Pipe_Tally!G66</f>
        <v>4.276</v>
      </c>
      <c r="E66" s="24" t="n">
        <f aca="false">Pipe_Tally!L66</f>
        <v>10583.63</v>
      </c>
      <c r="F66" s="24" t="n">
        <f aca="false">Pipe_Tally!M66</f>
        <v>10614.71</v>
      </c>
      <c r="G66" s="24" t="n">
        <f aca="false">MAX(0,MIN(F66,Well_Data!$B$10)-MAX(E66,Well_Data!$B$23))</f>
        <v>31.0799999999999</v>
      </c>
      <c r="H66" s="26" t="n">
        <f aca="false">G66*(Well_Data!$B$26^2-C66^2)/1029.4</f>
        <v>1.42658830386633</v>
      </c>
      <c r="I66" s="24" t="n">
        <f aca="false">MAX(0,MIN(F66,Well_Data!$B$23)-E66)</f>
        <v>0</v>
      </c>
      <c r="J66" s="26" t="n">
        <f aca="false">I66*(Well_Data!$B$25^2-C66^2)/1029.4</f>
        <v>0</v>
      </c>
      <c r="K66" s="25" t="n">
        <f aca="false">D66^2/1029.4</f>
        <v>0.0177619739654167</v>
      </c>
      <c r="L66" s="24" t="n">
        <f aca="false">F66-E66</f>
        <v>31.0799999999999</v>
      </c>
      <c r="M66" s="26" t="n">
        <f aca="false">K66*L66</f>
        <v>0.552042150845151</v>
      </c>
    </row>
    <row r="67" customFormat="false" ht="15" hidden="false" customHeight="true" outlineLevel="0" collapsed="false">
      <c r="A67" s="19" t="n">
        <f aca="false">Pipe_Tally!A67</f>
        <v>66</v>
      </c>
      <c r="B67" s="19" t="str">
        <f aca="false">Pipe_Tally!D67</f>
        <v>5in 19.50 ppf S-135 drill pipe</v>
      </c>
      <c r="C67" s="26" t="n">
        <f aca="false">Pipe_Tally!F67</f>
        <v>5</v>
      </c>
      <c r="D67" s="26" t="n">
        <f aca="false">Pipe_Tally!G67</f>
        <v>4.276</v>
      </c>
      <c r="E67" s="24" t="n">
        <f aca="false">Pipe_Tally!L67</f>
        <v>10552.63</v>
      </c>
      <c r="F67" s="24" t="n">
        <f aca="false">Pipe_Tally!M67</f>
        <v>10583.63</v>
      </c>
      <c r="G67" s="24" t="n">
        <f aca="false">MAX(0,MIN(F67,Well_Data!$B$10)-MAX(E67,Well_Data!$B$23))</f>
        <v>31</v>
      </c>
      <c r="H67" s="26" t="n">
        <f aca="false">G67*(Well_Data!$B$26^2-C67^2)/1029.4</f>
        <v>1.42291626190014</v>
      </c>
      <c r="I67" s="24" t="n">
        <f aca="false">MAX(0,MIN(F67,Well_Data!$B$23)-E67)</f>
        <v>0</v>
      </c>
      <c r="J67" s="26" t="n">
        <f aca="false">I67*(Well_Data!$B$25^2-C67^2)/1029.4</f>
        <v>0</v>
      </c>
      <c r="K67" s="25" t="n">
        <f aca="false">D67^2/1029.4</f>
        <v>0.0177619739654167</v>
      </c>
      <c r="L67" s="24" t="n">
        <f aca="false">F67-E67</f>
        <v>31</v>
      </c>
      <c r="M67" s="26" t="n">
        <f aca="false">K67*L67</f>
        <v>0.550621192927919</v>
      </c>
    </row>
    <row r="68" customFormat="false" ht="15" hidden="false" customHeight="true" outlineLevel="0" collapsed="false">
      <c r="A68" s="19" t="n">
        <f aca="false">Pipe_Tally!A68</f>
        <v>67</v>
      </c>
      <c r="B68" s="19" t="str">
        <f aca="false">Pipe_Tally!D68</f>
        <v>5in 19.50 ppf S-135 drill pipe</v>
      </c>
      <c r="C68" s="26" t="n">
        <f aca="false">Pipe_Tally!F68</f>
        <v>5</v>
      </c>
      <c r="D68" s="26" t="n">
        <f aca="false">Pipe_Tally!G68</f>
        <v>4.276</v>
      </c>
      <c r="E68" s="24" t="n">
        <f aca="false">Pipe_Tally!L68</f>
        <v>10521.05</v>
      </c>
      <c r="F68" s="24" t="n">
        <f aca="false">Pipe_Tally!M68</f>
        <v>10552.63</v>
      </c>
      <c r="G68" s="24" t="n">
        <f aca="false">MAX(0,MIN(F68,Well_Data!$B$10)-MAX(E68,Well_Data!$B$23))</f>
        <v>31.5799999999999</v>
      </c>
      <c r="H68" s="26" t="n">
        <f aca="false">G68*(Well_Data!$B$26^2-C68^2)/1029.4</f>
        <v>1.44953856615504</v>
      </c>
      <c r="I68" s="24" t="n">
        <f aca="false">MAX(0,MIN(F68,Well_Data!$B$23)-E68)</f>
        <v>0</v>
      </c>
      <c r="J68" s="26" t="n">
        <f aca="false">I68*(Well_Data!$B$25^2-C68^2)/1029.4</f>
        <v>0</v>
      </c>
      <c r="K68" s="25" t="n">
        <f aca="false">D68^2/1029.4</f>
        <v>0.0177619739654167</v>
      </c>
      <c r="L68" s="24" t="n">
        <f aca="false">F68-E68</f>
        <v>31.5799999999999</v>
      </c>
      <c r="M68" s="26" t="n">
        <f aca="false">K68*L68</f>
        <v>0.56092313782786</v>
      </c>
    </row>
    <row r="69" customFormat="false" ht="15" hidden="false" customHeight="true" outlineLevel="0" collapsed="false">
      <c r="A69" s="19" t="n">
        <f aca="false">Pipe_Tally!A69</f>
        <v>68</v>
      </c>
      <c r="B69" s="19" t="str">
        <f aca="false">Pipe_Tally!D69</f>
        <v>5in 19.50 ppf S-135 drill pipe</v>
      </c>
      <c r="C69" s="26" t="n">
        <f aca="false">Pipe_Tally!F69</f>
        <v>5</v>
      </c>
      <c r="D69" s="26" t="n">
        <f aca="false">Pipe_Tally!G69</f>
        <v>4.276</v>
      </c>
      <c r="E69" s="24" t="n">
        <f aca="false">Pipe_Tally!L69</f>
        <v>10489.84</v>
      </c>
      <c r="F69" s="24" t="n">
        <f aca="false">Pipe_Tally!M69</f>
        <v>10521.05</v>
      </c>
      <c r="G69" s="24" t="n">
        <f aca="false">MAX(0,MIN(F69,Well_Data!$B$10)-MAX(E69,Well_Data!$B$23))</f>
        <v>31.2099999999991</v>
      </c>
      <c r="H69" s="26" t="n">
        <f aca="false">G69*(Well_Data!$B$26^2-C69^2)/1029.4</f>
        <v>1.43255537206135</v>
      </c>
      <c r="I69" s="24" t="n">
        <f aca="false">MAX(0,MIN(F69,Well_Data!$B$23)-E69)</f>
        <v>0</v>
      </c>
      <c r="J69" s="26" t="n">
        <f aca="false">I69*(Well_Data!$B$25^2-C69^2)/1029.4</f>
        <v>0</v>
      </c>
      <c r="K69" s="25" t="n">
        <f aca="false">D69^2/1029.4</f>
        <v>0.0177619739654167</v>
      </c>
      <c r="L69" s="24" t="n">
        <f aca="false">F69-E69</f>
        <v>31.2099999999991</v>
      </c>
      <c r="M69" s="26" t="n">
        <f aca="false">K69*L69</f>
        <v>0.554351207460641</v>
      </c>
    </row>
    <row r="70" customFormat="false" ht="15" hidden="false" customHeight="true" outlineLevel="0" collapsed="false">
      <c r="A70" s="19" t="n">
        <f aca="false">Pipe_Tally!A70</f>
        <v>69</v>
      </c>
      <c r="B70" s="19" t="str">
        <f aca="false">Pipe_Tally!D70</f>
        <v>5in 19.50 ppf S-135 drill pipe</v>
      </c>
      <c r="C70" s="26" t="n">
        <f aca="false">Pipe_Tally!F70</f>
        <v>5</v>
      </c>
      <c r="D70" s="26" t="n">
        <f aca="false">Pipe_Tally!G70</f>
        <v>4.276</v>
      </c>
      <c r="E70" s="24" t="n">
        <f aca="false">Pipe_Tally!L70</f>
        <v>10458.5</v>
      </c>
      <c r="F70" s="24" t="n">
        <f aca="false">Pipe_Tally!M70</f>
        <v>10489.84</v>
      </c>
      <c r="G70" s="24" t="n">
        <f aca="false">MAX(0,MIN(F70,Well_Data!$B$10)-MAX(E70,Well_Data!$B$23))</f>
        <v>31.3400000000001</v>
      </c>
      <c r="H70" s="26" t="n">
        <f aca="false">G70*(Well_Data!$B$26^2-C70^2)/1029.4</f>
        <v>1.43852244025647</v>
      </c>
      <c r="I70" s="24" t="n">
        <f aca="false">MAX(0,MIN(F70,Well_Data!$B$23)-E70)</f>
        <v>0</v>
      </c>
      <c r="J70" s="26" t="n">
        <f aca="false">I70*(Well_Data!$B$25^2-C70^2)/1029.4</f>
        <v>0</v>
      </c>
      <c r="K70" s="25" t="n">
        <f aca="false">D70^2/1029.4</f>
        <v>0.0177619739654167</v>
      </c>
      <c r="L70" s="24" t="n">
        <f aca="false">F70-E70</f>
        <v>31.3400000000001</v>
      </c>
      <c r="M70" s="26" t="n">
        <f aca="false">K70*L70</f>
        <v>0.556660264076163</v>
      </c>
    </row>
    <row r="71" customFormat="false" ht="15" hidden="false" customHeight="true" outlineLevel="0" collapsed="false">
      <c r="A71" s="19" t="n">
        <f aca="false">Pipe_Tally!A71</f>
        <v>70</v>
      </c>
      <c r="B71" s="19" t="str">
        <f aca="false">Pipe_Tally!D71</f>
        <v>5in 19.50 ppf S-135 drill pipe</v>
      </c>
      <c r="C71" s="26" t="n">
        <f aca="false">Pipe_Tally!F71</f>
        <v>5</v>
      </c>
      <c r="D71" s="26" t="n">
        <f aca="false">Pipe_Tally!G71</f>
        <v>4.276</v>
      </c>
      <c r="E71" s="24" t="n">
        <f aca="false">Pipe_Tally!L71</f>
        <v>10427.27</v>
      </c>
      <c r="F71" s="24" t="n">
        <f aca="false">Pipe_Tally!M71</f>
        <v>10458.5</v>
      </c>
      <c r="G71" s="24" t="n">
        <f aca="false">MAX(0,MIN(F71,Well_Data!$B$10)-MAX(E71,Well_Data!$B$23))</f>
        <v>31.2299999999996</v>
      </c>
      <c r="H71" s="26" t="n">
        <f aca="false">G71*(Well_Data!$B$26^2-C71^2)/1029.4</f>
        <v>1.43347338255292</v>
      </c>
      <c r="I71" s="24" t="n">
        <f aca="false">MAX(0,MIN(F71,Well_Data!$B$23)-E71)</f>
        <v>0</v>
      </c>
      <c r="J71" s="26" t="n">
        <f aca="false">I71*(Well_Data!$B$25^2-C71^2)/1029.4</f>
        <v>0</v>
      </c>
      <c r="K71" s="25" t="n">
        <f aca="false">D71^2/1029.4</f>
        <v>0.0177619739654167</v>
      </c>
      <c r="L71" s="24" t="n">
        <f aca="false">F71-E71</f>
        <v>31.2299999999996</v>
      </c>
      <c r="M71" s="26" t="n">
        <f aca="false">K71*L71</f>
        <v>0.554706446939957</v>
      </c>
    </row>
    <row r="72" customFormat="false" ht="15" hidden="false" customHeight="true" outlineLevel="0" collapsed="false">
      <c r="A72" s="19" t="n">
        <f aca="false">Pipe_Tally!A72</f>
        <v>71</v>
      </c>
      <c r="B72" s="19" t="str">
        <f aca="false">Pipe_Tally!D72</f>
        <v>5in 19.50 ppf S-135 drill pipe</v>
      </c>
      <c r="C72" s="26" t="n">
        <f aca="false">Pipe_Tally!F72</f>
        <v>5</v>
      </c>
      <c r="D72" s="26" t="n">
        <f aca="false">Pipe_Tally!G72</f>
        <v>4.276</v>
      </c>
      <c r="E72" s="24" t="n">
        <f aca="false">Pipe_Tally!L72</f>
        <v>10395.63</v>
      </c>
      <c r="F72" s="24" t="n">
        <f aca="false">Pipe_Tally!M72</f>
        <v>10427.27</v>
      </c>
      <c r="G72" s="24" t="n">
        <f aca="false">MAX(0,MIN(F72,Well_Data!$B$10)-MAX(E72,Well_Data!$B$23))</f>
        <v>31.6399999999994</v>
      </c>
      <c r="H72" s="26" t="n">
        <f aca="false">G72*(Well_Data!$B$26^2-C72^2)/1029.4</f>
        <v>1.45229259762966</v>
      </c>
      <c r="I72" s="24" t="n">
        <f aca="false">MAX(0,MIN(F72,Well_Data!$B$23)-E72)</f>
        <v>0</v>
      </c>
      <c r="J72" s="26" t="n">
        <f aca="false">I72*(Well_Data!$B$25^2-C72^2)/1029.4</f>
        <v>0</v>
      </c>
      <c r="K72" s="25" t="n">
        <f aca="false">D72^2/1029.4</f>
        <v>0.0177619739654167</v>
      </c>
      <c r="L72" s="24" t="n">
        <f aca="false">F72-E72</f>
        <v>31.6399999999994</v>
      </c>
      <c r="M72" s="26" t="n">
        <f aca="false">K72*L72</f>
        <v>0.561988856265775</v>
      </c>
    </row>
    <row r="73" customFormat="false" ht="15" hidden="false" customHeight="true" outlineLevel="0" collapsed="false">
      <c r="A73" s="19" t="n">
        <f aca="false">Pipe_Tally!A73</f>
        <v>72</v>
      </c>
      <c r="B73" s="19" t="str">
        <f aca="false">Pipe_Tally!D73</f>
        <v>5in 19.50 ppf S-135 drill pipe</v>
      </c>
      <c r="C73" s="26" t="n">
        <f aca="false">Pipe_Tally!F73</f>
        <v>5</v>
      </c>
      <c r="D73" s="26" t="n">
        <f aca="false">Pipe_Tally!G73</f>
        <v>4.276</v>
      </c>
      <c r="E73" s="24" t="n">
        <f aca="false">Pipe_Tally!L73</f>
        <v>10364.49</v>
      </c>
      <c r="F73" s="24" t="n">
        <f aca="false">Pipe_Tally!M73</f>
        <v>10395.63</v>
      </c>
      <c r="G73" s="24" t="n">
        <f aca="false">MAX(0,MIN(F73,Well_Data!$B$10)-MAX(E73,Well_Data!$B$23))</f>
        <v>31.1399999999994</v>
      </c>
      <c r="H73" s="26" t="n">
        <f aca="false">G73*(Well_Data!$B$26^2-C73^2)/1029.4</f>
        <v>1.42934233534095</v>
      </c>
      <c r="I73" s="24" t="n">
        <f aca="false">MAX(0,MIN(F73,Well_Data!$B$23)-E73)</f>
        <v>0</v>
      </c>
      <c r="J73" s="26" t="n">
        <f aca="false">I73*(Well_Data!$B$25^2-C73^2)/1029.4</f>
        <v>0</v>
      </c>
      <c r="K73" s="25" t="n">
        <f aca="false">D73^2/1029.4</f>
        <v>0.0177619739654167</v>
      </c>
      <c r="L73" s="24" t="n">
        <f aca="false">F73-E73</f>
        <v>31.1399999999994</v>
      </c>
      <c r="M73" s="26" t="n">
        <f aca="false">K73*L73</f>
        <v>0.553107869283067</v>
      </c>
    </row>
    <row r="74" customFormat="false" ht="15" hidden="false" customHeight="true" outlineLevel="0" collapsed="false">
      <c r="A74" s="19" t="n">
        <f aca="false">Pipe_Tally!A74</f>
        <v>73</v>
      </c>
      <c r="B74" s="19" t="str">
        <f aca="false">Pipe_Tally!D74</f>
        <v>5in 19.50 ppf S-135 drill pipe</v>
      </c>
      <c r="C74" s="26" t="n">
        <f aca="false">Pipe_Tally!F74</f>
        <v>5</v>
      </c>
      <c r="D74" s="26" t="n">
        <f aca="false">Pipe_Tally!G74</f>
        <v>4.276</v>
      </c>
      <c r="E74" s="24" t="n">
        <f aca="false">Pipe_Tally!L74</f>
        <v>10333.65</v>
      </c>
      <c r="F74" s="24" t="n">
        <f aca="false">Pipe_Tally!M74</f>
        <v>10364.49</v>
      </c>
      <c r="G74" s="24" t="n">
        <f aca="false">MAX(0,MIN(F74,Well_Data!$B$10)-MAX(E74,Well_Data!$B$23))</f>
        <v>30.8400000000001</v>
      </c>
      <c r="H74" s="26" t="n">
        <f aca="false">G74*(Well_Data!$B$26^2-C74^2)/1029.4</f>
        <v>1.41557217796775</v>
      </c>
      <c r="I74" s="24" t="n">
        <f aca="false">MAX(0,MIN(F74,Well_Data!$B$23)-E74)</f>
        <v>0</v>
      </c>
      <c r="J74" s="26" t="n">
        <f aca="false">I74*(Well_Data!$B$25^2-C74^2)/1029.4</f>
        <v>0</v>
      </c>
      <c r="K74" s="25" t="n">
        <f aca="false">D74^2/1029.4</f>
        <v>0.0177619739654167</v>
      </c>
      <c r="L74" s="24" t="n">
        <f aca="false">F74-E74</f>
        <v>30.8400000000001</v>
      </c>
      <c r="M74" s="26" t="n">
        <f aca="false">K74*L74</f>
        <v>0.547779277093455</v>
      </c>
    </row>
    <row r="75" customFormat="false" ht="15" hidden="false" customHeight="true" outlineLevel="0" collapsed="false">
      <c r="A75" s="19" t="n">
        <f aca="false">Pipe_Tally!A75</f>
        <v>74</v>
      </c>
      <c r="B75" s="19" t="str">
        <f aca="false">Pipe_Tally!D75</f>
        <v>5in 19.50 ppf S-135 drill pipe</v>
      </c>
      <c r="C75" s="26" t="n">
        <f aca="false">Pipe_Tally!F75</f>
        <v>5</v>
      </c>
      <c r="D75" s="26" t="n">
        <f aca="false">Pipe_Tally!G75</f>
        <v>4.276</v>
      </c>
      <c r="E75" s="24" t="n">
        <f aca="false">Pipe_Tally!L75</f>
        <v>10302.27</v>
      </c>
      <c r="F75" s="24" t="n">
        <f aca="false">Pipe_Tally!M75</f>
        <v>10333.65</v>
      </c>
      <c r="G75" s="24" t="n">
        <f aca="false">MAX(0,MIN(F75,Well_Data!$B$10)-MAX(E75,Well_Data!$B$23))</f>
        <v>31.3799999999992</v>
      </c>
      <c r="H75" s="26" t="n">
        <f aca="false">G75*(Well_Data!$B$26^2-C75^2)/1029.4</f>
        <v>1.44035846123952</v>
      </c>
      <c r="I75" s="24" t="n">
        <f aca="false">MAX(0,MIN(F75,Well_Data!$B$23)-E75)</f>
        <v>0</v>
      </c>
      <c r="J75" s="26" t="n">
        <f aca="false">I75*(Well_Data!$B$25^2-C75^2)/1029.4</f>
        <v>0</v>
      </c>
      <c r="K75" s="25" t="n">
        <f aca="false">D75^2/1029.4</f>
        <v>0.0177619739654167</v>
      </c>
      <c r="L75" s="24" t="n">
        <f aca="false">F75-E75</f>
        <v>31.3799999999992</v>
      </c>
      <c r="M75" s="26" t="n">
        <f aca="false">K75*L75</f>
        <v>0.557370743034763</v>
      </c>
    </row>
    <row r="76" customFormat="false" ht="15" hidden="false" customHeight="true" outlineLevel="0" collapsed="false">
      <c r="A76" s="19" t="n">
        <f aca="false">Pipe_Tally!A76</f>
        <v>75</v>
      </c>
      <c r="B76" s="19" t="str">
        <f aca="false">Pipe_Tally!D76</f>
        <v>5in 19.50 ppf S-135 drill pipe</v>
      </c>
      <c r="C76" s="26" t="n">
        <f aca="false">Pipe_Tally!F76</f>
        <v>5</v>
      </c>
      <c r="D76" s="26" t="n">
        <f aca="false">Pipe_Tally!G76</f>
        <v>4.276</v>
      </c>
      <c r="E76" s="24" t="n">
        <f aca="false">Pipe_Tally!L76</f>
        <v>10271.16</v>
      </c>
      <c r="F76" s="24" t="n">
        <f aca="false">Pipe_Tally!M76</f>
        <v>10302.27</v>
      </c>
      <c r="G76" s="24" t="n">
        <f aca="false">MAX(0,MIN(F76,Well_Data!$B$10)-MAX(E76,Well_Data!$B$23))</f>
        <v>31.1100000000006</v>
      </c>
      <c r="H76" s="26" t="n">
        <f aca="false">G76*(Well_Data!$B$26^2-C76^2)/1029.4</f>
        <v>1.42796531960368</v>
      </c>
      <c r="I76" s="24" t="n">
        <f aca="false">MAX(0,MIN(F76,Well_Data!$B$23)-E76)</f>
        <v>0</v>
      </c>
      <c r="J76" s="26" t="n">
        <f aca="false">I76*(Well_Data!$B$25^2-C76^2)/1029.4</f>
        <v>0</v>
      </c>
      <c r="K76" s="25" t="n">
        <f aca="false">D76^2/1029.4</f>
        <v>0.0177619739654167</v>
      </c>
      <c r="L76" s="24" t="n">
        <f aca="false">F76-E76</f>
        <v>31.1100000000006</v>
      </c>
      <c r="M76" s="26" t="n">
        <f aca="false">K76*L76</f>
        <v>0.552575010064125</v>
      </c>
    </row>
    <row r="77" customFormat="false" ht="15" hidden="false" customHeight="true" outlineLevel="0" collapsed="false">
      <c r="A77" s="19" t="n">
        <f aca="false">Pipe_Tally!A77</f>
        <v>76</v>
      </c>
      <c r="B77" s="19" t="str">
        <f aca="false">Pipe_Tally!D77</f>
        <v>5in 19.50 ppf S-135 drill pipe</v>
      </c>
      <c r="C77" s="26" t="n">
        <f aca="false">Pipe_Tally!F77</f>
        <v>5</v>
      </c>
      <c r="D77" s="26" t="n">
        <f aca="false">Pipe_Tally!G77</f>
        <v>4.276</v>
      </c>
      <c r="E77" s="24" t="n">
        <f aca="false">Pipe_Tally!L77</f>
        <v>10240.02</v>
      </c>
      <c r="F77" s="24" t="n">
        <f aca="false">Pipe_Tally!M77</f>
        <v>10271.16</v>
      </c>
      <c r="G77" s="24" t="n">
        <f aca="false">MAX(0,MIN(F77,Well_Data!$B$10)-MAX(E77,Well_Data!$B$23))</f>
        <v>31.1399999999994</v>
      </c>
      <c r="H77" s="26" t="n">
        <f aca="false">G77*(Well_Data!$B$26^2-C77^2)/1029.4</f>
        <v>1.42934233534095</v>
      </c>
      <c r="I77" s="24" t="n">
        <f aca="false">MAX(0,MIN(F77,Well_Data!$B$23)-E77)</f>
        <v>0</v>
      </c>
      <c r="J77" s="26" t="n">
        <f aca="false">I77*(Well_Data!$B$25^2-C77^2)/1029.4</f>
        <v>0</v>
      </c>
      <c r="K77" s="25" t="n">
        <f aca="false">D77^2/1029.4</f>
        <v>0.0177619739654167</v>
      </c>
      <c r="L77" s="24" t="n">
        <f aca="false">F77-E77</f>
        <v>31.1399999999994</v>
      </c>
      <c r="M77" s="26" t="n">
        <f aca="false">K77*L77</f>
        <v>0.553107869283067</v>
      </c>
    </row>
    <row r="78" customFormat="false" ht="15" hidden="false" customHeight="true" outlineLevel="0" collapsed="false">
      <c r="A78" s="19" t="n">
        <f aca="false">Pipe_Tally!A78</f>
        <v>77</v>
      </c>
      <c r="B78" s="19" t="str">
        <f aca="false">Pipe_Tally!D78</f>
        <v>5in 19.50 ppf S-135 drill pipe</v>
      </c>
      <c r="C78" s="26" t="n">
        <f aca="false">Pipe_Tally!F78</f>
        <v>5</v>
      </c>
      <c r="D78" s="26" t="n">
        <f aca="false">Pipe_Tally!G78</f>
        <v>4.276</v>
      </c>
      <c r="E78" s="24" t="n">
        <f aca="false">Pipe_Tally!L78</f>
        <v>10208.4</v>
      </c>
      <c r="F78" s="24" t="n">
        <f aca="false">Pipe_Tally!M78</f>
        <v>10240.02</v>
      </c>
      <c r="G78" s="24" t="n">
        <f aca="false">MAX(0,MIN(F78,Well_Data!$B$10)-MAX(E78,Well_Data!$B$23))</f>
        <v>31.6200000000008</v>
      </c>
      <c r="H78" s="26" t="n">
        <f aca="false">G78*(Well_Data!$B$26^2-C78^2)/1029.4</f>
        <v>1.45137458713818</v>
      </c>
      <c r="I78" s="24" t="n">
        <f aca="false">MAX(0,MIN(F78,Well_Data!$B$23)-E78)</f>
        <v>0</v>
      </c>
      <c r="J78" s="26" t="n">
        <f aca="false">I78*(Well_Data!$B$25^2-C78^2)/1029.4</f>
        <v>0</v>
      </c>
      <c r="K78" s="25" t="n">
        <f aca="false">D78^2/1029.4</f>
        <v>0.0177619739654167</v>
      </c>
      <c r="L78" s="24" t="n">
        <f aca="false">F78-E78</f>
        <v>31.6200000000008</v>
      </c>
      <c r="M78" s="26" t="n">
        <f aca="false">K78*L78</f>
        <v>0.561633616786492</v>
      </c>
    </row>
    <row r="79" customFormat="false" ht="15" hidden="false" customHeight="true" outlineLevel="0" collapsed="false">
      <c r="A79" s="19" t="n">
        <f aca="false">Pipe_Tally!A79</f>
        <v>78</v>
      </c>
      <c r="B79" s="19" t="str">
        <f aca="false">Pipe_Tally!D79</f>
        <v>5in 19.50 ppf S-135 drill pipe</v>
      </c>
      <c r="C79" s="26" t="n">
        <f aca="false">Pipe_Tally!F79</f>
        <v>5</v>
      </c>
      <c r="D79" s="26" t="n">
        <f aca="false">Pipe_Tally!G79</f>
        <v>4.276</v>
      </c>
      <c r="E79" s="24" t="n">
        <f aca="false">Pipe_Tally!L79</f>
        <v>10176.87</v>
      </c>
      <c r="F79" s="24" t="n">
        <f aca="false">Pipe_Tally!M79</f>
        <v>10208.4</v>
      </c>
      <c r="G79" s="24" t="n">
        <f aca="false">MAX(0,MIN(F79,Well_Data!$B$10)-MAX(E79,Well_Data!$B$23))</f>
        <v>31.5300000000007</v>
      </c>
      <c r="H79" s="26" t="n">
        <f aca="false">G79*(Well_Data!$B$26^2-C79^2)/1029.4</f>
        <v>1.4472435399262</v>
      </c>
      <c r="I79" s="24" t="n">
        <f aca="false">MAX(0,MIN(F79,Well_Data!$B$23)-E79)</f>
        <v>0</v>
      </c>
      <c r="J79" s="26" t="n">
        <f aca="false">I79*(Well_Data!$B$25^2-C79^2)/1029.4</f>
        <v>0</v>
      </c>
      <c r="K79" s="25" t="n">
        <f aca="false">D79^2/1029.4</f>
        <v>0.0177619739654167</v>
      </c>
      <c r="L79" s="24" t="n">
        <f aca="false">F79-E79</f>
        <v>31.5300000000007</v>
      </c>
      <c r="M79" s="26" t="n">
        <f aca="false">K79*L79</f>
        <v>0.560035039129602</v>
      </c>
    </row>
    <row r="80" customFormat="false" ht="15" hidden="false" customHeight="true" outlineLevel="0" collapsed="false">
      <c r="A80" s="19" t="n">
        <f aca="false">Pipe_Tally!A80</f>
        <v>79</v>
      </c>
      <c r="B80" s="19" t="str">
        <f aca="false">Pipe_Tally!D80</f>
        <v>5in 19.50 ppf S-135 drill pipe</v>
      </c>
      <c r="C80" s="26" t="n">
        <f aca="false">Pipe_Tally!F80</f>
        <v>5</v>
      </c>
      <c r="D80" s="26" t="n">
        <f aca="false">Pipe_Tally!G80</f>
        <v>4.276</v>
      </c>
      <c r="E80" s="24" t="n">
        <f aca="false">Pipe_Tally!L80</f>
        <v>10145.55</v>
      </c>
      <c r="F80" s="24" t="n">
        <f aca="false">Pipe_Tally!M80</f>
        <v>10176.87</v>
      </c>
      <c r="G80" s="24" t="n">
        <f aca="false">MAX(0,MIN(F80,Well_Data!$B$10)-MAX(E80,Well_Data!$B$23))</f>
        <v>31.3199999999997</v>
      </c>
      <c r="H80" s="26" t="n">
        <f aca="false">G80*(Well_Data!$B$26^2-C80^2)/1029.4</f>
        <v>1.4376044297649</v>
      </c>
      <c r="I80" s="24" t="n">
        <f aca="false">MAX(0,MIN(F80,Well_Data!$B$23)-E80)</f>
        <v>0</v>
      </c>
      <c r="J80" s="26" t="n">
        <f aca="false">I80*(Well_Data!$B$25^2-C80^2)/1029.4</f>
        <v>0</v>
      </c>
      <c r="K80" s="25" t="n">
        <f aca="false">D80^2/1029.4</f>
        <v>0.0177619739654167</v>
      </c>
      <c r="L80" s="24" t="n">
        <f aca="false">F80-E80</f>
        <v>31.3199999999997</v>
      </c>
      <c r="M80" s="26" t="n">
        <f aca="false">K80*L80</f>
        <v>0.556305024596847</v>
      </c>
    </row>
    <row r="81" customFormat="false" ht="15" hidden="false" customHeight="true" outlineLevel="0" collapsed="false">
      <c r="A81" s="19" t="n">
        <f aca="false">Pipe_Tally!A81</f>
        <v>80</v>
      </c>
      <c r="B81" s="19" t="str">
        <f aca="false">Pipe_Tally!D81</f>
        <v>5in 19.50 ppf S-135 drill pipe</v>
      </c>
      <c r="C81" s="26" t="n">
        <f aca="false">Pipe_Tally!F81</f>
        <v>5</v>
      </c>
      <c r="D81" s="26" t="n">
        <f aca="false">Pipe_Tally!G81</f>
        <v>4.276</v>
      </c>
      <c r="E81" s="24" t="n">
        <f aca="false">Pipe_Tally!L81</f>
        <v>10114.55</v>
      </c>
      <c r="F81" s="24" t="n">
        <f aca="false">Pipe_Tally!M81</f>
        <v>10145.55</v>
      </c>
      <c r="G81" s="24" t="n">
        <f aca="false">MAX(0,MIN(F81,Well_Data!$B$10)-MAX(E81,Well_Data!$B$23))</f>
        <v>31</v>
      </c>
      <c r="H81" s="26" t="n">
        <f aca="false">G81*(Well_Data!$B$26^2-C81^2)/1029.4</f>
        <v>1.42291626190014</v>
      </c>
      <c r="I81" s="24" t="n">
        <f aca="false">MAX(0,MIN(F81,Well_Data!$B$23)-E81)</f>
        <v>0</v>
      </c>
      <c r="J81" s="26" t="n">
        <f aca="false">I81*(Well_Data!$B$25^2-C81^2)/1029.4</f>
        <v>0</v>
      </c>
      <c r="K81" s="25" t="n">
        <f aca="false">D81^2/1029.4</f>
        <v>0.0177619739654167</v>
      </c>
      <c r="L81" s="24" t="n">
        <f aca="false">F81-E81</f>
        <v>31</v>
      </c>
      <c r="M81" s="26" t="n">
        <f aca="false">K81*L81</f>
        <v>0.550621192927919</v>
      </c>
    </row>
    <row r="82" customFormat="false" ht="15" hidden="false" customHeight="true" outlineLevel="0" collapsed="false">
      <c r="A82" s="19" t="n">
        <f aca="false">Pipe_Tally!A82</f>
        <v>81</v>
      </c>
      <c r="B82" s="19" t="str">
        <f aca="false">Pipe_Tally!D82</f>
        <v>5in 19.50 ppf S-135 drill pipe</v>
      </c>
      <c r="C82" s="26" t="n">
        <f aca="false">Pipe_Tally!F82</f>
        <v>5</v>
      </c>
      <c r="D82" s="26" t="n">
        <f aca="false">Pipe_Tally!G82</f>
        <v>4.276</v>
      </c>
      <c r="E82" s="24" t="n">
        <f aca="false">Pipe_Tally!L82</f>
        <v>10082.79</v>
      </c>
      <c r="F82" s="24" t="n">
        <f aca="false">Pipe_Tally!M82</f>
        <v>10114.55</v>
      </c>
      <c r="G82" s="24" t="n">
        <f aca="false">MAX(0,MIN(F82,Well_Data!$B$10)-MAX(E82,Well_Data!$B$23))</f>
        <v>31.7600000000002</v>
      </c>
      <c r="H82" s="26" t="n">
        <f aca="false">G82*(Well_Data!$B$26^2-C82^2)/1029.4</f>
        <v>1.45780066057899</v>
      </c>
      <c r="I82" s="24" t="n">
        <f aca="false">MAX(0,MIN(F82,Well_Data!$B$23)-E82)</f>
        <v>0</v>
      </c>
      <c r="J82" s="26" t="n">
        <f aca="false">I82*(Well_Data!$B$25^2-C82^2)/1029.4</f>
        <v>0</v>
      </c>
      <c r="K82" s="25" t="n">
        <f aca="false">D82^2/1029.4</f>
        <v>0.0177619739654167</v>
      </c>
      <c r="L82" s="24" t="n">
        <f aca="false">F82-E82</f>
        <v>31.7600000000002</v>
      </c>
      <c r="M82" s="26" t="n">
        <f aca="false">K82*L82</f>
        <v>0.56412029314164</v>
      </c>
    </row>
    <row r="83" customFormat="false" ht="15" hidden="false" customHeight="true" outlineLevel="0" collapsed="false">
      <c r="A83" s="19" t="n">
        <f aca="false">Pipe_Tally!A83</f>
        <v>82</v>
      </c>
      <c r="B83" s="19" t="str">
        <f aca="false">Pipe_Tally!D83</f>
        <v>5in 19.50 ppf S-135 drill pipe</v>
      </c>
      <c r="C83" s="26" t="n">
        <f aca="false">Pipe_Tally!F83</f>
        <v>5</v>
      </c>
      <c r="D83" s="26" t="n">
        <f aca="false">Pipe_Tally!G83</f>
        <v>4.276</v>
      </c>
      <c r="E83" s="24" t="n">
        <f aca="false">Pipe_Tally!L83</f>
        <v>10052.04</v>
      </c>
      <c r="F83" s="24" t="n">
        <f aca="false">Pipe_Tally!M83</f>
        <v>10082.79</v>
      </c>
      <c r="G83" s="24" t="n">
        <f aca="false">MAX(0,MIN(F83,Well_Data!$B$10)-MAX(E83,Well_Data!$B$23))</f>
        <v>30.75</v>
      </c>
      <c r="H83" s="26" t="n">
        <f aca="false">G83*(Well_Data!$B$26^2-C83^2)/1029.4</f>
        <v>1.41144113075578</v>
      </c>
      <c r="I83" s="24" t="n">
        <f aca="false">MAX(0,MIN(F83,Well_Data!$B$23)-E83)</f>
        <v>0</v>
      </c>
      <c r="J83" s="26" t="n">
        <f aca="false">I83*(Well_Data!$B$25^2-C83^2)/1029.4</f>
        <v>0</v>
      </c>
      <c r="K83" s="25" t="n">
        <f aca="false">D83^2/1029.4</f>
        <v>0.0177619739654167</v>
      </c>
      <c r="L83" s="24" t="n">
        <f aca="false">F83-E83</f>
        <v>30.75</v>
      </c>
      <c r="M83" s="26" t="n">
        <f aca="false">K83*L83</f>
        <v>0.546180699436565</v>
      </c>
    </row>
    <row r="84" customFormat="false" ht="15" hidden="false" customHeight="true" outlineLevel="0" collapsed="false">
      <c r="A84" s="19" t="n">
        <f aca="false">Pipe_Tally!A84</f>
        <v>83</v>
      </c>
      <c r="B84" s="19" t="str">
        <f aca="false">Pipe_Tally!D84</f>
        <v>5in 19.50 ppf S-135 drill pipe</v>
      </c>
      <c r="C84" s="26" t="n">
        <f aca="false">Pipe_Tally!F84</f>
        <v>5</v>
      </c>
      <c r="D84" s="26" t="n">
        <f aca="false">Pipe_Tally!G84</f>
        <v>4.276</v>
      </c>
      <c r="E84" s="24" t="n">
        <f aca="false">Pipe_Tally!L84</f>
        <v>10020.84</v>
      </c>
      <c r="F84" s="24" t="n">
        <f aca="false">Pipe_Tally!M84</f>
        <v>10052.04</v>
      </c>
      <c r="G84" s="24" t="n">
        <f aca="false">MAX(0,MIN(F84,Well_Data!$B$10)-MAX(E84,Well_Data!$B$23))</f>
        <v>31.2000000000007</v>
      </c>
      <c r="H84" s="26" t="n">
        <f aca="false">G84*(Well_Data!$B$26^2-C84^2)/1029.4</f>
        <v>1.43209636681565</v>
      </c>
      <c r="I84" s="24" t="n">
        <f aca="false">MAX(0,MIN(F84,Well_Data!$B$23)-E84)</f>
        <v>0</v>
      </c>
      <c r="J84" s="26" t="n">
        <f aca="false">I84*(Well_Data!$B$25^2-C84^2)/1029.4</f>
        <v>0</v>
      </c>
      <c r="K84" s="25" t="n">
        <f aca="false">D84^2/1029.4</f>
        <v>0.0177619739654167</v>
      </c>
      <c r="L84" s="24" t="n">
        <f aca="false">F84-E84</f>
        <v>31.2000000000007</v>
      </c>
      <c r="M84" s="26" t="n">
        <f aca="false">K84*L84</f>
        <v>0.554173587721015</v>
      </c>
    </row>
    <row r="85" customFormat="false" ht="15" hidden="false" customHeight="true" outlineLevel="0" collapsed="false">
      <c r="A85" s="19" t="n">
        <f aca="false">Pipe_Tally!A85</f>
        <v>84</v>
      </c>
      <c r="B85" s="19" t="str">
        <f aca="false">Pipe_Tally!D85</f>
        <v>5in 19.50 ppf S-135 drill pipe</v>
      </c>
      <c r="C85" s="26" t="n">
        <f aca="false">Pipe_Tally!F85</f>
        <v>5</v>
      </c>
      <c r="D85" s="26" t="n">
        <f aca="false">Pipe_Tally!G85</f>
        <v>4.276</v>
      </c>
      <c r="E85" s="24" t="n">
        <f aca="false">Pipe_Tally!L85</f>
        <v>9989.83</v>
      </c>
      <c r="F85" s="24" t="n">
        <f aca="false">Pipe_Tally!M85</f>
        <v>10020.84</v>
      </c>
      <c r="G85" s="24" t="n">
        <f aca="false">MAX(0,MIN(F85,Well_Data!$B$10)-MAX(E85,Well_Data!$B$23))</f>
        <v>31.0100000000002</v>
      </c>
      <c r="H85" s="26" t="n">
        <f aca="false">G85*(Well_Data!$B$26^2-C85^2)/1029.4</f>
        <v>1.42337526714592</v>
      </c>
      <c r="I85" s="24" t="n">
        <f aca="false">MAX(0,MIN(F85,Well_Data!$B$23)-E85)</f>
        <v>0</v>
      </c>
      <c r="J85" s="26" t="n">
        <f aca="false">I85*(Well_Data!$B$25^2-C85^2)/1029.4</f>
        <v>0</v>
      </c>
      <c r="K85" s="25" t="n">
        <f aca="false">D85^2/1029.4</f>
        <v>0.0177619739654167</v>
      </c>
      <c r="L85" s="24" t="n">
        <f aca="false">F85-E85</f>
        <v>31.0100000000002</v>
      </c>
      <c r="M85" s="26" t="n">
        <f aca="false">K85*L85</f>
        <v>0.550798812667577</v>
      </c>
    </row>
    <row r="86" customFormat="false" ht="15" hidden="false" customHeight="true" outlineLevel="0" collapsed="false">
      <c r="A86" s="19" t="n">
        <f aca="false">Pipe_Tally!A86</f>
        <v>85</v>
      </c>
      <c r="B86" s="19" t="str">
        <f aca="false">Pipe_Tally!D86</f>
        <v>5in 19.50 ppf S-135 drill pipe</v>
      </c>
      <c r="C86" s="26" t="n">
        <f aca="false">Pipe_Tally!F86</f>
        <v>5</v>
      </c>
      <c r="D86" s="26" t="n">
        <f aca="false">Pipe_Tally!G86</f>
        <v>4.276</v>
      </c>
      <c r="E86" s="24" t="n">
        <f aca="false">Pipe_Tally!L86</f>
        <v>9958.49</v>
      </c>
      <c r="F86" s="24" t="n">
        <f aca="false">Pipe_Tally!M86</f>
        <v>9989.83</v>
      </c>
      <c r="G86" s="24" t="n">
        <f aca="false">MAX(0,MIN(F86,Well_Data!$B$10)-MAX(E86,Well_Data!$B$23))</f>
        <v>31.3400000000001</v>
      </c>
      <c r="H86" s="26" t="n">
        <f aca="false">G86*(Well_Data!$B$26^2-C86^2)/1029.4</f>
        <v>1.43852244025647</v>
      </c>
      <c r="I86" s="24" t="n">
        <f aca="false">MAX(0,MIN(F86,Well_Data!$B$23)-E86)</f>
        <v>0</v>
      </c>
      <c r="J86" s="26" t="n">
        <f aca="false">I86*(Well_Data!$B$25^2-C86^2)/1029.4</f>
        <v>0</v>
      </c>
      <c r="K86" s="25" t="n">
        <f aca="false">D86^2/1029.4</f>
        <v>0.0177619739654167</v>
      </c>
      <c r="L86" s="24" t="n">
        <f aca="false">F86-E86</f>
        <v>31.3400000000001</v>
      </c>
      <c r="M86" s="26" t="n">
        <f aca="false">K86*L86</f>
        <v>0.556660264076163</v>
      </c>
    </row>
    <row r="87" customFormat="false" ht="15" hidden="false" customHeight="true" outlineLevel="0" collapsed="false">
      <c r="A87" s="19" t="n">
        <f aca="false">Pipe_Tally!A87</f>
        <v>86</v>
      </c>
      <c r="B87" s="19" t="str">
        <f aca="false">Pipe_Tally!D87</f>
        <v>5in 19.50 ppf S-135 drill pipe</v>
      </c>
      <c r="C87" s="26" t="n">
        <f aca="false">Pipe_Tally!F87</f>
        <v>5</v>
      </c>
      <c r="D87" s="26" t="n">
        <f aca="false">Pipe_Tally!G87</f>
        <v>4.276</v>
      </c>
      <c r="E87" s="24" t="n">
        <f aca="false">Pipe_Tally!L87</f>
        <v>9926.84</v>
      </c>
      <c r="F87" s="24" t="n">
        <f aca="false">Pipe_Tally!M87</f>
        <v>9958.49</v>
      </c>
      <c r="G87" s="24" t="n">
        <f aca="false">MAX(0,MIN(F87,Well_Data!$B$10)-MAX(E87,Well_Data!$B$23))</f>
        <v>31.6499999999996</v>
      </c>
      <c r="H87" s="26" t="n">
        <f aca="false">G87*(Well_Data!$B$26^2-C87^2)/1029.4</f>
        <v>1.45275160287544</v>
      </c>
      <c r="I87" s="24" t="n">
        <f aca="false">MAX(0,MIN(F87,Well_Data!$B$23)-E87)</f>
        <v>0</v>
      </c>
      <c r="J87" s="26" t="n">
        <f aca="false">I87*(Well_Data!$B$25^2-C87^2)/1029.4</f>
        <v>0</v>
      </c>
      <c r="K87" s="25" t="n">
        <f aca="false">D87^2/1029.4</f>
        <v>0.0177619739654167</v>
      </c>
      <c r="L87" s="24" t="n">
        <f aca="false">F87-E87</f>
        <v>31.6499999999996</v>
      </c>
      <c r="M87" s="26" t="n">
        <f aca="false">K87*L87</f>
        <v>0.562166476005434</v>
      </c>
    </row>
    <row r="88" customFormat="false" ht="15" hidden="false" customHeight="true" outlineLevel="0" collapsed="false">
      <c r="A88" s="19" t="n">
        <f aca="false">Pipe_Tally!A88</f>
        <v>87</v>
      </c>
      <c r="B88" s="19" t="str">
        <f aca="false">Pipe_Tally!D88</f>
        <v>5in 19.50 ppf S-135 drill pipe</v>
      </c>
      <c r="C88" s="26" t="n">
        <f aca="false">Pipe_Tally!F88</f>
        <v>5</v>
      </c>
      <c r="D88" s="26" t="n">
        <f aca="false">Pipe_Tally!G88</f>
        <v>4.276</v>
      </c>
      <c r="E88" s="24" t="n">
        <f aca="false">Pipe_Tally!L88</f>
        <v>9895.12</v>
      </c>
      <c r="F88" s="24" t="n">
        <f aca="false">Pipe_Tally!M88</f>
        <v>9926.84</v>
      </c>
      <c r="G88" s="24" t="n">
        <f aca="false">MAX(0,MIN(F88,Well_Data!$B$10)-MAX(E88,Well_Data!$B$23))</f>
        <v>31.7199999999993</v>
      </c>
      <c r="H88" s="26" t="n">
        <f aca="false">G88*(Well_Data!$B$26^2-C88^2)/1029.4</f>
        <v>1.45596463959585</v>
      </c>
      <c r="I88" s="24" t="n">
        <f aca="false">MAX(0,MIN(F88,Well_Data!$B$23)-E88)</f>
        <v>0</v>
      </c>
      <c r="J88" s="26" t="n">
        <f aca="false">I88*(Well_Data!$B$25^2-C88^2)/1029.4</f>
        <v>0</v>
      </c>
      <c r="K88" s="25" t="n">
        <f aca="false">D88^2/1029.4</f>
        <v>0.0177619739654167</v>
      </c>
      <c r="L88" s="24" t="n">
        <f aca="false">F88-E88</f>
        <v>31.7199999999993</v>
      </c>
      <c r="M88" s="26" t="n">
        <f aca="false">K88*L88</f>
        <v>0.563409814183008</v>
      </c>
    </row>
    <row r="89" customFormat="false" ht="15" hidden="false" customHeight="true" outlineLevel="0" collapsed="false">
      <c r="A89" s="19" t="n">
        <f aca="false">Pipe_Tally!A89</f>
        <v>88</v>
      </c>
      <c r="B89" s="19" t="str">
        <f aca="false">Pipe_Tally!D89</f>
        <v>5in 19.50 ppf S-135 drill pipe</v>
      </c>
      <c r="C89" s="26" t="n">
        <f aca="false">Pipe_Tally!F89</f>
        <v>5</v>
      </c>
      <c r="D89" s="26" t="n">
        <f aca="false">Pipe_Tally!G89</f>
        <v>4.276</v>
      </c>
      <c r="E89" s="24" t="n">
        <f aca="false">Pipe_Tally!L89</f>
        <v>9863.93</v>
      </c>
      <c r="F89" s="24" t="n">
        <f aca="false">Pipe_Tally!M89</f>
        <v>9895.12</v>
      </c>
      <c r="G89" s="24" t="n">
        <f aca="false">MAX(0,MIN(F89,Well_Data!$B$10)-MAX(E89,Well_Data!$B$23))</f>
        <v>31.1900000000005</v>
      </c>
      <c r="H89" s="26" t="n">
        <f aca="false">G89*(Well_Data!$B$26^2-C89^2)/1029.4</f>
        <v>1.43163736156987</v>
      </c>
      <c r="I89" s="24" t="n">
        <f aca="false">MAX(0,MIN(F89,Well_Data!$B$23)-E89)</f>
        <v>0</v>
      </c>
      <c r="J89" s="26" t="n">
        <f aca="false">I89*(Well_Data!$B$25^2-C89^2)/1029.4</f>
        <v>0</v>
      </c>
      <c r="K89" s="25" t="n">
        <f aca="false">D89^2/1029.4</f>
        <v>0.0177619739654167</v>
      </c>
      <c r="L89" s="24" t="n">
        <f aca="false">F89-E89</f>
        <v>31.1900000000005</v>
      </c>
      <c r="M89" s="26" t="n">
        <f aca="false">K89*L89</f>
        <v>0.553995967981357</v>
      </c>
    </row>
    <row r="90" customFormat="false" ht="15" hidden="false" customHeight="true" outlineLevel="0" collapsed="false">
      <c r="A90" s="19" t="n">
        <f aca="false">Pipe_Tally!A90</f>
        <v>89</v>
      </c>
      <c r="B90" s="19" t="str">
        <f aca="false">Pipe_Tally!D90</f>
        <v>5in 19.50 ppf S-135 drill pipe</v>
      </c>
      <c r="C90" s="26" t="n">
        <f aca="false">Pipe_Tally!F90</f>
        <v>5</v>
      </c>
      <c r="D90" s="26" t="n">
        <f aca="false">Pipe_Tally!G90</f>
        <v>4.276</v>
      </c>
      <c r="E90" s="24" t="n">
        <f aca="false">Pipe_Tally!L90</f>
        <v>9832.42</v>
      </c>
      <c r="F90" s="24" t="n">
        <f aca="false">Pipe_Tally!M90</f>
        <v>9863.93</v>
      </c>
      <c r="G90" s="24" t="n">
        <f aca="false">MAX(0,MIN(F90,Well_Data!$B$10)-MAX(E90,Well_Data!$B$23))</f>
        <v>31.5100000000002</v>
      </c>
      <c r="H90" s="26" t="n">
        <f aca="false">G90*(Well_Data!$B$26^2-C90^2)/1029.4</f>
        <v>1.44632552943463</v>
      </c>
      <c r="I90" s="24" t="n">
        <f aca="false">MAX(0,MIN(F90,Well_Data!$B$23)-E90)</f>
        <v>0</v>
      </c>
      <c r="J90" s="26" t="n">
        <f aca="false">I90*(Well_Data!$B$25^2-C90^2)/1029.4</f>
        <v>0</v>
      </c>
      <c r="K90" s="25" t="n">
        <f aca="false">D90^2/1029.4</f>
        <v>0.0177619739654167</v>
      </c>
      <c r="L90" s="24" t="n">
        <f aca="false">F90-E90</f>
        <v>31.5100000000002</v>
      </c>
      <c r="M90" s="26" t="n">
        <f aca="false">K90*L90</f>
        <v>0.559679799650286</v>
      </c>
    </row>
    <row r="91" customFormat="false" ht="15" hidden="false" customHeight="true" outlineLevel="0" collapsed="false">
      <c r="A91" s="19" t="n">
        <f aca="false">Pipe_Tally!A91</f>
        <v>90</v>
      </c>
      <c r="B91" s="19" t="str">
        <f aca="false">Pipe_Tally!D91</f>
        <v>5in 19.50 ppf S-135 drill pipe</v>
      </c>
      <c r="C91" s="26" t="n">
        <f aca="false">Pipe_Tally!F91</f>
        <v>5</v>
      </c>
      <c r="D91" s="26" t="n">
        <f aca="false">Pipe_Tally!G91</f>
        <v>4.276</v>
      </c>
      <c r="E91" s="24" t="n">
        <f aca="false">Pipe_Tally!L91</f>
        <v>9801.45</v>
      </c>
      <c r="F91" s="24" t="n">
        <f aca="false">Pipe_Tally!M91</f>
        <v>9832.42</v>
      </c>
      <c r="G91" s="24" t="n">
        <f aca="false">MAX(0,MIN(F91,Well_Data!$B$10)-MAX(E91,Well_Data!$B$23))</f>
        <v>30.9699999999993</v>
      </c>
      <c r="H91" s="26" t="n">
        <f aca="false">G91*(Well_Data!$B$26^2-C91^2)/1029.4</f>
        <v>1.42153924616278</v>
      </c>
      <c r="I91" s="24" t="n">
        <f aca="false">MAX(0,MIN(F91,Well_Data!$B$23)-E91)</f>
        <v>0</v>
      </c>
      <c r="J91" s="26" t="n">
        <f aca="false">I91*(Well_Data!$B$25^2-C91^2)/1029.4</f>
        <v>0</v>
      </c>
      <c r="K91" s="25" t="n">
        <f aca="false">D91^2/1029.4</f>
        <v>0.0177619739654167</v>
      </c>
      <c r="L91" s="24" t="n">
        <f aca="false">F91-E91</f>
        <v>30.9699999999993</v>
      </c>
      <c r="M91" s="26" t="n">
        <f aca="false">K91*L91</f>
        <v>0.550088333708945</v>
      </c>
    </row>
    <row r="92" customFormat="false" ht="15" hidden="false" customHeight="true" outlineLevel="0" collapsed="false">
      <c r="A92" s="19" t="n">
        <f aca="false">Pipe_Tally!A92</f>
        <v>91</v>
      </c>
      <c r="B92" s="19" t="str">
        <f aca="false">Pipe_Tally!D92</f>
        <v>5in 19.50 ppf S-135 drill pipe</v>
      </c>
      <c r="C92" s="26" t="n">
        <f aca="false">Pipe_Tally!F92</f>
        <v>5</v>
      </c>
      <c r="D92" s="26" t="n">
        <f aca="false">Pipe_Tally!G92</f>
        <v>4.276</v>
      </c>
      <c r="E92" s="24" t="n">
        <f aca="false">Pipe_Tally!L92</f>
        <v>9770.54</v>
      </c>
      <c r="F92" s="24" t="n">
        <f aca="false">Pipe_Tally!M92</f>
        <v>9801.45</v>
      </c>
      <c r="G92" s="24" t="n">
        <f aca="false">MAX(0,MIN(F92,Well_Data!$B$10)-MAX(E92,Well_Data!$B$23))</f>
        <v>30.9099999999999</v>
      </c>
      <c r="H92" s="26" t="n">
        <f aca="false">G92*(Well_Data!$B$26^2-C92^2)/1029.4</f>
        <v>1.41878521468816</v>
      </c>
      <c r="I92" s="24" t="n">
        <f aca="false">MAX(0,MIN(F92,Well_Data!$B$23)-E92)</f>
        <v>0</v>
      </c>
      <c r="J92" s="26" t="n">
        <f aca="false">I92*(Well_Data!$B$25^2-C92^2)/1029.4</f>
        <v>0</v>
      </c>
      <c r="K92" s="25" t="n">
        <f aca="false">D92^2/1029.4</f>
        <v>0.0177619739654167</v>
      </c>
      <c r="L92" s="24" t="n">
        <f aca="false">F92-E92</f>
        <v>30.9099999999999</v>
      </c>
      <c r="M92" s="26" t="n">
        <f aca="false">K92*L92</f>
        <v>0.549022615271029</v>
      </c>
    </row>
    <row r="93" customFormat="false" ht="15" hidden="false" customHeight="true" outlineLevel="0" collapsed="false">
      <c r="A93" s="19" t="n">
        <f aca="false">Pipe_Tally!A93</f>
        <v>92</v>
      </c>
      <c r="B93" s="19" t="str">
        <f aca="false">Pipe_Tally!D93</f>
        <v>5in 19.50 ppf S-135 drill pipe</v>
      </c>
      <c r="C93" s="26" t="n">
        <f aca="false">Pipe_Tally!F93</f>
        <v>5</v>
      </c>
      <c r="D93" s="26" t="n">
        <f aca="false">Pipe_Tally!G93</f>
        <v>4.276</v>
      </c>
      <c r="E93" s="24" t="n">
        <f aca="false">Pipe_Tally!L93</f>
        <v>9739.4</v>
      </c>
      <c r="F93" s="24" t="n">
        <f aca="false">Pipe_Tally!M93</f>
        <v>9770.54</v>
      </c>
      <c r="G93" s="24" t="n">
        <f aca="false">MAX(0,MIN(F93,Well_Data!$B$10)-MAX(E93,Well_Data!$B$23))</f>
        <v>31.1399999999994</v>
      </c>
      <c r="H93" s="26" t="n">
        <f aca="false">G93*(Well_Data!$B$26^2-C93^2)/1029.4</f>
        <v>1.42934233534095</v>
      </c>
      <c r="I93" s="24" t="n">
        <f aca="false">MAX(0,MIN(F93,Well_Data!$B$23)-E93)</f>
        <v>0</v>
      </c>
      <c r="J93" s="26" t="n">
        <f aca="false">I93*(Well_Data!$B$25^2-C93^2)/1029.4</f>
        <v>0</v>
      </c>
      <c r="K93" s="25" t="n">
        <f aca="false">D93^2/1029.4</f>
        <v>0.0177619739654167</v>
      </c>
      <c r="L93" s="24" t="n">
        <f aca="false">F93-E93</f>
        <v>31.1399999999994</v>
      </c>
      <c r="M93" s="26" t="n">
        <f aca="false">K93*L93</f>
        <v>0.553107869283067</v>
      </c>
    </row>
    <row r="94" customFormat="false" ht="15" hidden="false" customHeight="true" outlineLevel="0" collapsed="false">
      <c r="A94" s="19" t="n">
        <f aca="false">Pipe_Tally!A94</f>
        <v>93</v>
      </c>
      <c r="B94" s="19" t="str">
        <f aca="false">Pipe_Tally!D94</f>
        <v>5in 19.50 ppf S-135 drill pipe</v>
      </c>
      <c r="C94" s="26" t="n">
        <f aca="false">Pipe_Tally!F94</f>
        <v>5</v>
      </c>
      <c r="D94" s="26" t="n">
        <f aca="false">Pipe_Tally!G94</f>
        <v>4.276</v>
      </c>
      <c r="E94" s="24" t="n">
        <f aca="false">Pipe_Tally!L94</f>
        <v>9708.67</v>
      </c>
      <c r="F94" s="24" t="n">
        <f aca="false">Pipe_Tally!M94</f>
        <v>9739.4</v>
      </c>
      <c r="G94" s="24" t="n">
        <f aca="false">MAX(0,MIN(F94,Well_Data!$B$10)-MAX(E94,Well_Data!$B$23))</f>
        <v>30.7299999999996</v>
      </c>
      <c r="H94" s="26" t="n">
        <f aca="false">G94*(Well_Data!$B$26^2-C94^2)/1029.4</f>
        <v>1.41052312026421</v>
      </c>
      <c r="I94" s="24" t="n">
        <f aca="false">MAX(0,MIN(F94,Well_Data!$B$23)-E94)</f>
        <v>0</v>
      </c>
      <c r="J94" s="26" t="n">
        <f aca="false">I94*(Well_Data!$B$25^2-C94^2)/1029.4</f>
        <v>0</v>
      </c>
      <c r="K94" s="25" t="n">
        <f aca="false">D94^2/1029.4</f>
        <v>0.0177619739654167</v>
      </c>
      <c r="L94" s="24" t="n">
        <f aca="false">F94-E94</f>
        <v>30.7299999999996</v>
      </c>
      <c r="M94" s="26" t="n">
        <f aca="false">K94*L94</f>
        <v>0.545825459957249</v>
      </c>
    </row>
    <row r="95" customFormat="false" ht="15" hidden="false" customHeight="true" outlineLevel="0" collapsed="false">
      <c r="A95" s="19" t="n">
        <f aca="false">Pipe_Tally!A95</f>
        <v>94</v>
      </c>
      <c r="B95" s="19" t="str">
        <f aca="false">Pipe_Tally!D95</f>
        <v>5in 19.50 ppf S-135 drill pipe</v>
      </c>
      <c r="C95" s="26" t="n">
        <f aca="false">Pipe_Tally!F95</f>
        <v>5</v>
      </c>
      <c r="D95" s="26" t="n">
        <f aca="false">Pipe_Tally!G95</f>
        <v>4.276</v>
      </c>
      <c r="E95" s="24" t="n">
        <f aca="false">Pipe_Tally!L95</f>
        <v>9677.62</v>
      </c>
      <c r="F95" s="24" t="n">
        <f aca="false">Pipe_Tally!M95</f>
        <v>9708.67</v>
      </c>
      <c r="G95" s="24" t="n">
        <f aca="false">MAX(0,MIN(F95,Well_Data!$B$10)-MAX(E95,Well_Data!$B$23))</f>
        <v>31.0499999999993</v>
      </c>
      <c r="H95" s="26" t="n">
        <f aca="false">G95*(Well_Data!$B$26^2-C95^2)/1029.4</f>
        <v>1.42521128812897</v>
      </c>
      <c r="I95" s="24" t="n">
        <f aca="false">MAX(0,MIN(F95,Well_Data!$B$23)-E95)</f>
        <v>0</v>
      </c>
      <c r="J95" s="26" t="n">
        <f aca="false">I95*(Well_Data!$B$25^2-C95^2)/1029.4</f>
        <v>0</v>
      </c>
      <c r="K95" s="25" t="n">
        <f aca="false">D95^2/1029.4</f>
        <v>0.0177619739654167</v>
      </c>
      <c r="L95" s="24" t="n">
        <f aca="false">F95-E95</f>
        <v>31.0499999999993</v>
      </c>
      <c r="M95" s="26" t="n">
        <f aca="false">K95*L95</f>
        <v>0.551509291626177</v>
      </c>
    </row>
    <row r="96" customFormat="false" ht="15" hidden="false" customHeight="true" outlineLevel="0" collapsed="false">
      <c r="A96" s="19" t="n">
        <f aca="false">Pipe_Tally!A96</f>
        <v>95</v>
      </c>
      <c r="B96" s="19" t="str">
        <f aca="false">Pipe_Tally!D96</f>
        <v>5in 19.50 ppf S-135 drill pipe</v>
      </c>
      <c r="C96" s="26" t="n">
        <f aca="false">Pipe_Tally!F96</f>
        <v>5</v>
      </c>
      <c r="D96" s="26" t="n">
        <f aca="false">Pipe_Tally!G96</f>
        <v>4.276</v>
      </c>
      <c r="E96" s="24" t="n">
        <f aca="false">Pipe_Tally!L96</f>
        <v>9646.52</v>
      </c>
      <c r="F96" s="24" t="n">
        <f aca="false">Pipe_Tally!M96</f>
        <v>9677.62</v>
      </c>
      <c r="G96" s="24" t="n">
        <f aca="false">MAX(0,MIN(F96,Well_Data!$B$10)-MAX(E96,Well_Data!$B$23))</f>
        <v>31.1000000000004</v>
      </c>
      <c r="H96" s="26" t="n">
        <f aca="false">G96*(Well_Data!$B$26^2-C96^2)/1029.4</f>
        <v>1.4275063143579</v>
      </c>
      <c r="I96" s="24" t="n">
        <f aca="false">MAX(0,MIN(F96,Well_Data!$B$23)-E96)</f>
        <v>0</v>
      </c>
      <c r="J96" s="26" t="n">
        <f aca="false">I96*(Well_Data!$B$25^2-C96^2)/1029.4</f>
        <v>0</v>
      </c>
      <c r="K96" s="25" t="n">
        <f aca="false">D96^2/1029.4</f>
        <v>0.0177619739654167</v>
      </c>
      <c r="L96" s="24" t="n">
        <f aca="false">F96-E96</f>
        <v>31.1000000000004</v>
      </c>
      <c r="M96" s="26" t="n">
        <f aca="false">K96*L96</f>
        <v>0.552397390324467</v>
      </c>
    </row>
    <row r="97" customFormat="false" ht="15" hidden="false" customHeight="true" outlineLevel="0" collapsed="false">
      <c r="A97" s="19" t="n">
        <f aca="false">Pipe_Tally!A97</f>
        <v>96</v>
      </c>
      <c r="B97" s="19" t="str">
        <f aca="false">Pipe_Tally!D97</f>
        <v>5in 19.50 ppf S-135 drill pipe</v>
      </c>
      <c r="C97" s="26" t="n">
        <f aca="false">Pipe_Tally!F97</f>
        <v>5</v>
      </c>
      <c r="D97" s="26" t="n">
        <f aca="false">Pipe_Tally!G97</f>
        <v>4.276</v>
      </c>
      <c r="E97" s="24" t="n">
        <f aca="false">Pipe_Tally!L97</f>
        <v>9615.52</v>
      </c>
      <c r="F97" s="24" t="n">
        <f aca="false">Pipe_Tally!M97</f>
        <v>9646.52</v>
      </c>
      <c r="G97" s="24" t="n">
        <f aca="false">MAX(0,MIN(F97,Well_Data!$B$10)-MAX(E97,Well_Data!$B$23))</f>
        <v>31</v>
      </c>
      <c r="H97" s="26" t="n">
        <f aca="false">G97*(Well_Data!$B$26^2-C97^2)/1029.4</f>
        <v>1.42291626190014</v>
      </c>
      <c r="I97" s="24" t="n">
        <f aca="false">MAX(0,MIN(F97,Well_Data!$B$23)-E97)</f>
        <v>0</v>
      </c>
      <c r="J97" s="26" t="n">
        <f aca="false">I97*(Well_Data!$B$25^2-C97^2)/1029.4</f>
        <v>0</v>
      </c>
      <c r="K97" s="25" t="n">
        <f aca="false">D97^2/1029.4</f>
        <v>0.0177619739654167</v>
      </c>
      <c r="L97" s="24" t="n">
        <f aca="false">F97-E97</f>
        <v>31</v>
      </c>
      <c r="M97" s="26" t="n">
        <f aca="false">K97*L97</f>
        <v>0.550621192927919</v>
      </c>
    </row>
    <row r="98" customFormat="false" ht="15" hidden="false" customHeight="true" outlineLevel="0" collapsed="false">
      <c r="A98" s="19" t="n">
        <f aca="false">Pipe_Tally!A98</f>
        <v>97</v>
      </c>
      <c r="B98" s="19" t="str">
        <f aca="false">Pipe_Tally!D98</f>
        <v>5in 19.50 ppf S-135 drill pipe</v>
      </c>
      <c r="C98" s="26" t="n">
        <f aca="false">Pipe_Tally!F98</f>
        <v>5</v>
      </c>
      <c r="D98" s="26" t="n">
        <f aca="false">Pipe_Tally!G98</f>
        <v>4.276</v>
      </c>
      <c r="E98" s="24" t="n">
        <f aca="false">Pipe_Tally!L98</f>
        <v>9584.49</v>
      </c>
      <c r="F98" s="24" t="n">
        <f aca="false">Pipe_Tally!M98</f>
        <v>9615.52</v>
      </c>
      <c r="G98" s="24" t="n">
        <f aca="false">MAX(0,MIN(F98,Well_Data!$B$10)-MAX(E98,Well_Data!$B$23))</f>
        <v>31.0300000000007</v>
      </c>
      <c r="H98" s="26" t="n">
        <f aca="false">G98*(Well_Data!$B$26^2-C98^2)/1029.4</f>
        <v>1.42429327763749</v>
      </c>
      <c r="I98" s="24" t="n">
        <f aca="false">MAX(0,MIN(F98,Well_Data!$B$23)-E98)</f>
        <v>0</v>
      </c>
      <c r="J98" s="26" t="n">
        <f aca="false">I98*(Well_Data!$B$25^2-C98^2)/1029.4</f>
        <v>0</v>
      </c>
      <c r="K98" s="25" t="n">
        <f aca="false">D98^2/1029.4</f>
        <v>0.0177619739654167</v>
      </c>
      <c r="L98" s="24" t="n">
        <f aca="false">F98-E98</f>
        <v>31.0300000000007</v>
      </c>
      <c r="M98" s="26" t="n">
        <f aca="false">K98*L98</f>
        <v>0.551154052146893</v>
      </c>
    </row>
    <row r="99" customFormat="false" ht="15" hidden="false" customHeight="true" outlineLevel="0" collapsed="false">
      <c r="A99" s="19" t="n">
        <f aca="false">Pipe_Tally!A99</f>
        <v>98</v>
      </c>
      <c r="B99" s="19" t="str">
        <f aca="false">Pipe_Tally!D99</f>
        <v>5in 19.50 ppf S-135 drill pipe</v>
      </c>
      <c r="C99" s="26" t="n">
        <f aca="false">Pipe_Tally!F99</f>
        <v>5</v>
      </c>
      <c r="D99" s="26" t="n">
        <f aca="false">Pipe_Tally!G99</f>
        <v>4.276</v>
      </c>
      <c r="E99" s="24" t="n">
        <f aca="false">Pipe_Tally!L99</f>
        <v>9553.37</v>
      </c>
      <c r="F99" s="24" t="n">
        <f aca="false">Pipe_Tally!M99</f>
        <v>9584.49</v>
      </c>
      <c r="G99" s="24" t="n">
        <f aca="false">MAX(0,MIN(F99,Well_Data!$B$10)-MAX(E99,Well_Data!$B$23))</f>
        <v>31.1200000000008</v>
      </c>
      <c r="H99" s="26" t="n">
        <f aca="false">G99*(Well_Data!$B$26^2-C99^2)/1029.4</f>
        <v>1.42842432484946</v>
      </c>
      <c r="I99" s="24" t="n">
        <f aca="false">MAX(0,MIN(F99,Well_Data!$B$23)-E99)</f>
        <v>0</v>
      </c>
      <c r="J99" s="26" t="n">
        <f aca="false">I99*(Well_Data!$B$25^2-C99^2)/1029.4</f>
        <v>0</v>
      </c>
      <c r="K99" s="25" t="n">
        <f aca="false">D99^2/1029.4</f>
        <v>0.0177619739654167</v>
      </c>
      <c r="L99" s="24" t="n">
        <f aca="false">F99-E99</f>
        <v>31.1200000000008</v>
      </c>
      <c r="M99" s="26" t="n">
        <f aca="false">K99*L99</f>
        <v>0.552752629803783</v>
      </c>
    </row>
    <row r="100" customFormat="false" ht="15" hidden="false" customHeight="true" outlineLevel="0" collapsed="false">
      <c r="A100" s="19" t="n">
        <f aca="false">Pipe_Tally!A100</f>
        <v>99</v>
      </c>
      <c r="B100" s="19" t="str">
        <f aca="false">Pipe_Tally!D100</f>
        <v>5in 19.50 ppf S-135 drill pipe</v>
      </c>
      <c r="C100" s="26" t="n">
        <f aca="false">Pipe_Tally!F100</f>
        <v>5</v>
      </c>
      <c r="D100" s="26" t="n">
        <f aca="false">Pipe_Tally!G100</f>
        <v>4.276</v>
      </c>
      <c r="E100" s="24" t="n">
        <f aca="false">Pipe_Tally!L100</f>
        <v>9522.41</v>
      </c>
      <c r="F100" s="24" t="n">
        <f aca="false">Pipe_Tally!M100</f>
        <v>9553.37</v>
      </c>
      <c r="G100" s="24" t="n">
        <f aca="false">MAX(0,MIN(F100,Well_Data!$B$10)-MAX(E100,Well_Data!$B$23))</f>
        <v>30.9599999999991</v>
      </c>
      <c r="H100" s="26" t="n">
        <f aca="false">G100*(Well_Data!$B$26^2-C100^2)/1029.4</f>
        <v>1.421080240917</v>
      </c>
      <c r="I100" s="24" t="n">
        <f aca="false">MAX(0,MIN(F100,Well_Data!$B$23)-E100)</f>
        <v>0</v>
      </c>
      <c r="J100" s="26" t="n">
        <f aca="false">I100*(Well_Data!$B$25^2-C100^2)/1029.4</f>
        <v>0</v>
      </c>
      <c r="K100" s="25" t="n">
        <f aca="false">D100^2/1029.4</f>
        <v>0.0177619739654167</v>
      </c>
      <c r="L100" s="24" t="n">
        <f aca="false">F100-E100</f>
        <v>30.9599999999991</v>
      </c>
      <c r="M100" s="26" t="n">
        <f aca="false">K100*L100</f>
        <v>0.549910713969287</v>
      </c>
    </row>
    <row r="101" customFormat="false" ht="15" hidden="false" customHeight="true" outlineLevel="0" collapsed="false">
      <c r="A101" s="19" t="n">
        <f aca="false">Pipe_Tally!A101</f>
        <v>100</v>
      </c>
      <c r="B101" s="19" t="str">
        <f aca="false">Pipe_Tally!D101</f>
        <v>5in 19.50 ppf S-135 drill pipe</v>
      </c>
      <c r="C101" s="26" t="n">
        <f aca="false">Pipe_Tally!F101</f>
        <v>5</v>
      </c>
      <c r="D101" s="26" t="n">
        <f aca="false">Pipe_Tally!G101</f>
        <v>4.276</v>
      </c>
      <c r="E101" s="24" t="n">
        <f aca="false">Pipe_Tally!L101</f>
        <v>9491.09</v>
      </c>
      <c r="F101" s="24" t="n">
        <f aca="false">Pipe_Tally!M101</f>
        <v>9522.41</v>
      </c>
      <c r="G101" s="24" t="n">
        <f aca="false">MAX(0,MIN(F101,Well_Data!$B$10)-MAX(E101,Well_Data!$B$23))</f>
        <v>31.3199999999997</v>
      </c>
      <c r="H101" s="26" t="n">
        <f aca="false">G101*(Well_Data!$B$26^2-C101^2)/1029.4</f>
        <v>1.4376044297649</v>
      </c>
      <c r="I101" s="24" t="n">
        <f aca="false">MAX(0,MIN(F101,Well_Data!$B$23)-E101)</f>
        <v>0</v>
      </c>
      <c r="J101" s="26" t="n">
        <f aca="false">I101*(Well_Data!$B$25^2-C101^2)/1029.4</f>
        <v>0</v>
      </c>
      <c r="K101" s="25" t="n">
        <f aca="false">D101^2/1029.4</f>
        <v>0.0177619739654167</v>
      </c>
      <c r="L101" s="24" t="n">
        <f aca="false">F101-E101</f>
        <v>31.3199999999997</v>
      </c>
      <c r="M101" s="26" t="n">
        <f aca="false">K101*L101</f>
        <v>0.556305024596847</v>
      </c>
    </row>
    <row r="102" customFormat="false" ht="15" hidden="false" customHeight="true" outlineLevel="0" collapsed="false">
      <c r="A102" s="19" t="n">
        <f aca="false">Pipe_Tally!A102</f>
        <v>101</v>
      </c>
      <c r="B102" s="19" t="str">
        <f aca="false">Pipe_Tally!D102</f>
        <v>5in 19.50 ppf S-135 drill pipe</v>
      </c>
      <c r="C102" s="26" t="n">
        <f aca="false">Pipe_Tally!F102</f>
        <v>5</v>
      </c>
      <c r="D102" s="26" t="n">
        <f aca="false">Pipe_Tally!G102</f>
        <v>4.276</v>
      </c>
      <c r="E102" s="24" t="n">
        <f aca="false">Pipe_Tally!L102</f>
        <v>9459.9</v>
      </c>
      <c r="F102" s="24" t="n">
        <f aca="false">Pipe_Tally!M102</f>
        <v>9491.09</v>
      </c>
      <c r="G102" s="24" t="n">
        <f aca="false">MAX(0,MIN(F102,Well_Data!$B$10)-MAX(E102,Well_Data!$B$23))</f>
        <v>31.1900000000005</v>
      </c>
      <c r="H102" s="26" t="n">
        <f aca="false">G102*(Well_Data!$B$26^2-C102^2)/1029.4</f>
        <v>1.43163736156987</v>
      </c>
      <c r="I102" s="24" t="n">
        <f aca="false">MAX(0,MIN(F102,Well_Data!$B$23)-E102)</f>
        <v>0</v>
      </c>
      <c r="J102" s="26" t="n">
        <f aca="false">I102*(Well_Data!$B$25^2-C102^2)/1029.4</f>
        <v>0</v>
      </c>
      <c r="K102" s="25" t="n">
        <f aca="false">D102^2/1029.4</f>
        <v>0.0177619739654167</v>
      </c>
      <c r="L102" s="24" t="n">
        <f aca="false">F102-E102</f>
        <v>31.1900000000005</v>
      </c>
      <c r="M102" s="26" t="n">
        <f aca="false">K102*L102</f>
        <v>0.553995967981357</v>
      </c>
    </row>
    <row r="103" customFormat="false" ht="15" hidden="false" customHeight="true" outlineLevel="0" collapsed="false">
      <c r="A103" s="19" t="n">
        <f aca="false">Pipe_Tally!A103</f>
        <v>102</v>
      </c>
      <c r="B103" s="19" t="str">
        <f aca="false">Pipe_Tally!D103</f>
        <v>5in 19.50 ppf S-135 drill pipe</v>
      </c>
      <c r="C103" s="26" t="n">
        <f aca="false">Pipe_Tally!F103</f>
        <v>5</v>
      </c>
      <c r="D103" s="26" t="n">
        <f aca="false">Pipe_Tally!G103</f>
        <v>4.276</v>
      </c>
      <c r="E103" s="24" t="n">
        <f aca="false">Pipe_Tally!L103</f>
        <v>9428.76</v>
      </c>
      <c r="F103" s="24" t="n">
        <f aca="false">Pipe_Tally!M103</f>
        <v>9459.9</v>
      </c>
      <c r="G103" s="24" t="n">
        <f aca="false">MAX(0,MIN(F103,Well_Data!$B$10)-MAX(E103,Well_Data!$B$23))</f>
        <v>31.1399999999994</v>
      </c>
      <c r="H103" s="26" t="n">
        <f aca="false">G103*(Well_Data!$B$26^2-C103^2)/1029.4</f>
        <v>1.42934233534095</v>
      </c>
      <c r="I103" s="24" t="n">
        <f aca="false">MAX(0,MIN(F103,Well_Data!$B$23)-E103)</f>
        <v>0</v>
      </c>
      <c r="J103" s="26" t="n">
        <f aca="false">I103*(Well_Data!$B$25^2-C103^2)/1029.4</f>
        <v>0</v>
      </c>
      <c r="K103" s="25" t="n">
        <f aca="false">D103^2/1029.4</f>
        <v>0.0177619739654167</v>
      </c>
      <c r="L103" s="24" t="n">
        <f aca="false">F103-E103</f>
        <v>31.1399999999994</v>
      </c>
      <c r="M103" s="26" t="n">
        <f aca="false">K103*L103</f>
        <v>0.553107869283067</v>
      </c>
    </row>
    <row r="104" customFormat="false" ht="15" hidden="false" customHeight="true" outlineLevel="0" collapsed="false">
      <c r="A104" s="19" t="n">
        <f aca="false">Pipe_Tally!A104</f>
        <v>103</v>
      </c>
      <c r="B104" s="19" t="str">
        <f aca="false">Pipe_Tally!D104</f>
        <v>5in 19.50 ppf S-135 drill pipe</v>
      </c>
      <c r="C104" s="26" t="n">
        <f aca="false">Pipe_Tally!F104</f>
        <v>5</v>
      </c>
      <c r="D104" s="26" t="n">
        <f aca="false">Pipe_Tally!G104</f>
        <v>4.276</v>
      </c>
      <c r="E104" s="24" t="n">
        <f aca="false">Pipe_Tally!L104</f>
        <v>9397.67</v>
      </c>
      <c r="F104" s="24" t="n">
        <f aca="false">Pipe_Tally!M104</f>
        <v>9428.76</v>
      </c>
      <c r="G104" s="24" t="n">
        <f aca="false">MAX(0,MIN(F104,Well_Data!$B$10)-MAX(E104,Well_Data!$B$23))</f>
        <v>31.0900000000001</v>
      </c>
      <c r="H104" s="26" t="n">
        <f aca="false">G104*(Well_Data!$B$26^2-C104^2)/1029.4</f>
        <v>1.42704730911211</v>
      </c>
      <c r="I104" s="24" t="n">
        <f aca="false">MAX(0,MIN(F104,Well_Data!$B$23)-E104)</f>
        <v>0</v>
      </c>
      <c r="J104" s="26" t="n">
        <f aca="false">I104*(Well_Data!$B$25^2-C104^2)/1029.4</f>
        <v>0</v>
      </c>
      <c r="K104" s="25" t="n">
        <f aca="false">D104^2/1029.4</f>
        <v>0.0177619739654167</v>
      </c>
      <c r="L104" s="24" t="n">
        <f aca="false">F104-E104</f>
        <v>31.0900000000001</v>
      </c>
      <c r="M104" s="26" t="n">
        <f aca="false">K104*L104</f>
        <v>0.552219770584809</v>
      </c>
    </row>
    <row r="105" customFormat="false" ht="15" hidden="false" customHeight="true" outlineLevel="0" collapsed="false">
      <c r="A105" s="19" t="n">
        <f aca="false">Pipe_Tally!A105</f>
        <v>104</v>
      </c>
      <c r="B105" s="19" t="str">
        <f aca="false">Pipe_Tally!D105</f>
        <v>5in 19.50 ppf S-135 drill pipe</v>
      </c>
      <c r="C105" s="26" t="n">
        <f aca="false">Pipe_Tally!F105</f>
        <v>5</v>
      </c>
      <c r="D105" s="26" t="n">
        <f aca="false">Pipe_Tally!G105</f>
        <v>4.276</v>
      </c>
      <c r="E105" s="24" t="n">
        <f aca="false">Pipe_Tally!L105</f>
        <v>9365.9</v>
      </c>
      <c r="F105" s="24" t="n">
        <f aca="false">Pipe_Tally!M105</f>
        <v>9397.67</v>
      </c>
      <c r="G105" s="24" t="n">
        <f aca="false">MAX(0,MIN(F105,Well_Data!$B$10)-MAX(E105,Well_Data!$B$23))</f>
        <v>31.7700000000004</v>
      </c>
      <c r="H105" s="26" t="n">
        <f aca="false">G105*(Well_Data!$B$26^2-C105^2)/1029.4</f>
        <v>1.45825966582477</v>
      </c>
      <c r="I105" s="24" t="n">
        <f aca="false">MAX(0,MIN(F105,Well_Data!$B$23)-E105)</f>
        <v>0</v>
      </c>
      <c r="J105" s="26" t="n">
        <f aca="false">I105*(Well_Data!$B$25^2-C105^2)/1029.4</f>
        <v>0</v>
      </c>
      <c r="K105" s="25" t="n">
        <f aca="false">D105^2/1029.4</f>
        <v>0.0177619739654167</v>
      </c>
      <c r="L105" s="24" t="n">
        <f aca="false">F105-E105</f>
        <v>31.7700000000004</v>
      </c>
      <c r="M105" s="26" t="n">
        <f aca="false">K105*L105</f>
        <v>0.564297912881298</v>
      </c>
    </row>
    <row r="106" customFormat="false" ht="15" hidden="false" customHeight="true" outlineLevel="0" collapsed="false">
      <c r="A106" s="19" t="n">
        <f aca="false">Pipe_Tally!A106</f>
        <v>105</v>
      </c>
      <c r="B106" s="19" t="str">
        <f aca="false">Pipe_Tally!D106</f>
        <v>5in 19.50 ppf S-135 drill pipe</v>
      </c>
      <c r="C106" s="26" t="n">
        <f aca="false">Pipe_Tally!F106</f>
        <v>5</v>
      </c>
      <c r="D106" s="26" t="n">
        <f aca="false">Pipe_Tally!G106</f>
        <v>4.276</v>
      </c>
      <c r="E106" s="24" t="n">
        <f aca="false">Pipe_Tally!L106</f>
        <v>9334.22</v>
      </c>
      <c r="F106" s="24" t="n">
        <f aca="false">Pipe_Tally!M106</f>
        <v>9365.9</v>
      </c>
      <c r="G106" s="24" t="n">
        <f aca="false">MAX(0,MIN(F106,Well_Data!$B$10)-MAX(E106,Well_Data!$B$23))</f>
        <v>31.6800000000003</v>
      </c>
      <c r="H106" s="26" t="n">
        <f aca="false">G106*(Well_Data!$B$26^2-C106^2)/1029.4</f>
        <v>1.4541286186128</v>
      </c>
      <c r="I106" s="24" t="n">
        <f aca="false">MAX(0,MIN(F106,Well_Data!$B$23)-E106)</f>
        <v>0</v>
      </c>
      <c r="J106" s="26" t="n">
        <f aca="false">I106*(Well_Data!$B$25^2-C106^2)/1029.4</f>
        <v>0</v>
      </c>
      <c r="K106" s="25" t="n">
        <f aca="false">D106^2/1029.4</f>
        <v>0.0177619739654167</v>
      </c>
      <c r="L106" s="24" t="n">
        <f aca="false">F106-E106</f>
        <v>31.6800000000003</v>
      </c>
      <c r="M106" s="26" t="n">
        <f aca="false">K106*L106</f>
        <v>0.562699335224408</v>
      </c>
    </row>
    <row r="107" customFormat="false" ht="15" hidden="false" customHeight="true" outlineLevel="0" collapsed="false">
      <c r="A107" s="19" t="n">
        <f aca="false">Pipe_Tally!A107</f>
        <v>106</v>
      </c>
      <c r="B107" s="19" t="str">
        <f aca="false">Pipe_Tally!D107</f>
        <v>5in 19.50 ppf S-135 drill pipe</v>
      </c>
      <c r="C107" s="26" t="n">
        <f aca="false">Pipe_Tally!F107</f>
        <v>5</v>
      </c>
      <c r="D107" s="26" t="n">
        <f aca="false">Pipe_Tally!G107</f>
        <v>4.276</v>
      </c>
      <c r="E107" s="24" t="n">
        <f aca="false">Pipe_Tally!L107</f>
        <v>9303.14</v>
      </c>
      <c r="F107" s="24" t="n">
        <f aca="false">Pipe_Tally!M107</f>
        <v>9334.22</v>
      </c>
      <c r="G107" s="24" t="n">
        <f aca="false">MAX(0,MIN(F107,Well_Data!$B$10)-MAX(E107,Well_Data!$B$23))</f>
        <v>31.0799999999999</v>
      </c>
      <c r="H107" s="26" t="n">
        <f aca="false">G107*(Well_Data!$B$26^2-C107^2)/1029.4</f>
        <v>1.42658830386633</v>
      </c>
      <c r="I107" s="24" t="n">
        <f aca="false">MAX(0,MIN(F107,Well_Data!$B$23)-E107)</f>
        <v>0</v>
      </c>
      <c r="J107" s="26" t="n">
        <f aca="false">I107*(Well_Data!$B$25^2-C107^2)/1029.4</f>
        <v>0</v>
      </c>
      <c r="K107" s="25" t="n">
        <f aca="false">D107^2/1029.4</f>
        <v>0.0177619739654167</v>
      </c>
      <c r="L107" s="24" t="n">
        <f aca="false">F107-E107</f>
        <v>31.0799999999999</v>
      </c>
      <c r="M107" s="26" t="n">
        <f aca="false">K107*L107</f>
        <v>0.552042150845151</v>
      </c>
    </row>
    <row r="108" customFormat="false" ht="15" hidden="false" customHeight="true" outlineLevel="0" collapsed="false">
      <c r="A108" s="19" t="n">
        <f aca="false">Pipe_Tally!A108</f>
        <v>107</v>
      </c>
      <c r="B108" s="19" t="str">
        <f aca="false">Pipe_Tally!D108</f>
        <v>5in 19.50 ppf S-135 drill pipe</v>
      </c>
      <c r="C108" s="26" t="n">
        <f aca="false">Pipe_Tally!F108</f>
        <v>5</v>
      </c>
      <c r="D108" s="26" t="n">
        <f aca="false">Pipe_Tally!G108</f>
        <v>4.276</v>
      </c>
      <c r="E108" s="24" t="n">
        <f aca="false">Pipe_Tally!L108</f>
        <v>9271.64</v>
      </c>
      <c r="F108" s="24" t="n">
        <f aca="false">Pipe_Tally!M108</f>
        <v>9303.14</v>
      </c>
      <c r="G108" s="24" t="n">
        <f aca="false">MAX(0,MIN(F108,Well_Data!$B$10)-MAX(E108,Well_Data!$B$23))</f>
        <v>31.5</v>
      </c>
      <c r="H108" s="26" t="n">
        <f aca="false">G108*(Well_Data!$B$26^2-C108^2)/1029.4</f>
        <v>1.44586652418885</v>
      </c>
      <c r="I108" s="24" t="n">
        <f aca="false">MAX(0,MIN(F108,Well_Data!$B$23)-E108)</f>
        <v>0</v>
      </c>
      <c r="J108" s="26" t="n">
        <f aca="false">I108*(Well_Data!$B$25^2-C108^2)/1029.4</f>
        <v>0</v>
      </c>
      <c r="K108" s="25" t="n">
        <f aca="false">D108^2/1029.4</f>
        <v>0.0177619739654167</v>
      </c>
      <c r="L108" s="24" t="n">
        <f aca="false">F108-E108</f>
        <v>31.5</v>
      </c>
      <c r="M108" s="26" t="n">
        <f aca="false">K108*L108</f>
        <v>0.559502179910628</v>
      </c>
    </row>
    <row r="109" customFormat="false" ht="15" hidden="false" customHeight="true" outlineLevel="0" collapsed="false">
      <c r="A109" s="19" t="n">
        <f aca="false">Pipe_Tally!A109</f>
        <v>108</v>
      </c>
      <c r="B109" s="19" t="str">
        <f aca="false">Pipe_Tally!D109</f>
        <v>5in 19.50 ppf S-135 drill pipe</v>
      </c>
      <c r="C109" s="26" t="n">
        <f aca="false">Pipe_Tally!F109</f>
        <v>5</v>
      </c>
      <c r="D109" s="26" t="n">
        <f aca="false">Pipe_Tally!G109</f>
        <v>4.276</v>
      </c>
      <c r="E109" s="24" t="n">
        <f aca="false">Pipe_Tally!L109</f>
        <v>9240.54</v>
      </c>
      <c r="F109" s="24" t="n">
        <f aca="false">Pipe_Tally!M109</f>
        <v>9271.64</v>
      </c>
      <c r="G109" s="24" t="n">
        <f aca="false">MAX(0,MIN(F109,Well_Data!$B$10)-MAX(E109,Well_Data!$B$23))</f>
        <v>31.1000000000004</v>
      </c>
      <c r="H109" s="26" t="n">
        <f aca="false">G109*(Well_Data!$B$26^2-C109^2)/1029.4</f>
        <v>1.4275063143579</v>
      </c>
      <c r="I109" s="24" t="n">
        <f aca="false">MAX(0,MIN(F109,Well_Data!$B$23)-E109)</f>
        <v>0</v>
      </c>
      <c r="J109" s="26" t="n">
        <f aca="false">I109*(Well_Data!$B$25^2-C109^2)/1029.4</f>
        <v>0</v>
      </c>
      <c r="K109" s="25" t="n">
        <f aca="false">D109^2/1029.4</f>
        <v>0.0177619739654167</v>
      </c>
      <c r="L109" s="24" t="n">
        <f aca="false">F109-E109</f>
        <v>31.1000000000004</v>
      </c>
      <c r="M109" s="26" t="n">
        <f aca="false">K109*L109</f>
        <v>0.552397390324467</v>
      </c>
    </row>
    <row r="110" customFormat="false" ht="15" hidden="false" customHeight="true" outlineLevel="0" collapsed="false">
      <c r="A110" s="19" t="n">
        <f aca="false">Pipe_Tally!A110</f>
        <v>109</v>
      </c>
      <c r="B110" s="19" t="str">
        <f aca="false">Pipe_Tally!D110</f>
        <v>5in 19.50 ppf S-135 drill pipe</v>
      </c>
      <c r="C110" s="26" t="n">
        <f aca="false">Pipe_Tally!F110</f>
        <v>5</v>
      </c>
      <c r="D110" s="26" t="n">
        <f aca="false">Pipe_Tally!G110</f>
        <v>4.276</v>
      </c>
      <c r="E110" s="24" t="n">
        <f aca="false">Pipe_Tally!L110</f>
        <v>9209.24</v>
      </c>
      <c r="F110" s="24" t="n">
        <f aca="false">Pipe_Tally!M110</f>
        <v>9240.54</v>
      </c>
      <c r="G110" s="24" t="n">
        <f aca="false">MAX(0,MIN(F110,Well_Data!$B$10)-MAX(E110,Well_Data!$B$23))</f>
        <v>31.2999999999993</v>
      </c>
      <c r="H110" s="26" t="n">
        <f aca="false">G110*(Well_Data!$B$26^2-C110^2)/1029.4</f>
        <v>1.43668641927333</v>
      </c>
      <c r="I110" s="24" t="n">
        <f aca="false">MAX(0,MIN(F110,Well_Data!$B$23)-E110)</f>
        <v>0</v>
      </c>
      <c r="J110" s="26" t="n">
        <f aca="false">I110*(Well_Data!$B$25^2-C110^2)/1029.4</f>
        <v>0</v>
      </c>
      <c r="K110" s="25" t="n">
        <f aca="false">D110^2/1029.4</f>
        <v>0.0177619739654167</v>
      </c>
      <c r="L110" s="24" t="n">
        <f aca="false">F110-E110</f>
        <v>31.2999999999993</v>
      </c>
      <c r="M110" s="26" t="n">
        <f aca="false">K110*L110</f>
        <v>0.555949785117531</v>
      </c>
    </row>
    <row r="111" customFormat="false" ht="15" hidden="false" customHeight="true" outlineLevel="0" collapsed="false">
      <c r="A111" s="19" t="n">
        <f aca="false">Pipe_Tally!A111</f>
        <v>110</v>
      </c>
      <c r="B111" s="19" t="str">
        <f aca="false">Pipe_Tally!D111</f>
        <v>5in 19.50 ppf S-135 drill pipe</v>
      </c>
      <c r="C111" s="26" t="n">
        <f aca="false">Pipe_Tally!F111</f>
        <v>5</v>
      </c>
      <c r="D111" s="26" t="n">
        <f aca="false">Pipe_Tally!G111</f>
        <v>4.276</v>
      </c>
      <c r="E111" s="24" t="n">
        <f aca="false">Pipe_Tally!L111</f>
        <v>9178.06</v>
      </c>
      <c r="F111" s="24" t="n">
        <f aca="false">Pipe_Tally!M111</f>
        <v>9209.24</v>
      </c>
      <c r="G111" s="24" t="n">
        <f aca="false">MAX(0,MIN(F111,Well_Data!$B$10)-MAX(E111,Well_Data!$B$23))</f>
        <v>31.1800000000003</v>
      </c>
      <c r="H111" s="26" t="n">
        <f aca="false">G111*(Well_Data!$B$26^2-C111^2)/1029.4</f>
        <v>1.43117835632409</v>
      </c>
      <c r="I111" s="24" t="n">
        <f aca="false">MAX(0,MIN(F111,Well_Data!$B$23)-E111)</f>
        <v>0</v>
      </c>
      <c r="J111" s="26" t="n">
        <f aca="false">I111*(Well_Data!$B$25^2-C111^2)/1029.4</f>
        <v>0</v>
      </c>
      <c r="K111" s="25" t="n">
        <f aca="false">D111^2/1029.4</f>
        <v>0.0177619739654167</v>
      </c>
      <c r="L111" s="24" t="n">
        <f aca="false">F111-E111</f>
        <v>31.1800000000003</v>
      </c>
      <c r="M111" s="26" t="n">
        <f aca="false">K111*L111</f>
        <v>0.553818348241699</v>
      </c>
    </row>
    <row r="112" customFormat="false" ht="15" hidden="false" customHeight="true" outlineLevel="0" collapsed="false">
      <c r="A112" s="19" t="n">
        <f aca="false">Pipe_Tally!A112</f>
        <v>111</v>
      </c>
      <c r="B112" s="19" t="str">
        <f aca="false">Pipe_Tally!D112</f>
        <v>5in 19.50 ppf S-135 drill pipe</v>
      </c>
      <c r="C112" s="26" t="n">
        <f aca="false">Pipe_Tally!F112</f>
        <v>5</v>
      </c>
      <c r="D112" s="26" t="n">
        <f aca="false">Pipe_Tally!G112</f>
        <v>4.276</v>
      </c>
      <c r="E112" s="24" t="n">
        <f aca="false">Pipe_Tally!L112</f>
        <v>9146.87</v>
      </c>
      <c r="F112" s="24" t="n">
        <f aca="false">Pipe_Tally!M112</f>
        <v>9178.06</v>
      </c>
      <c r="G112" s="24" t="n">
        <f aca="false">MAX(0,MIN(F112,Well_Data!$B$10)-MAX(E112,Well_Data!$B$23))</f>
        <v>31.1900000000005</v>
      </c>
      <c r="H112" s="26" t="n">
        <f aca="false">G112*(Well_Data!$B$26^2-C112^2)/1029.4</f>
        <v>1.43163736156987</v>
      </c>
      <c r="I112" s="24" t="n">
        <f aca="false">MAX(0,MIN(F112,Well_Data!$B$23)-E112)</f>
        <v>0</v>
      </c>
      <c r="J112" s="26" t="n">
        <f aca="false">I112*(Well_Data!$B$25^2-C112^2)/1029.4</f>
        <v>0</v>
      </c>
      <c r="K112" s="25" t="n">
        <f aca="false">D112^2/1029.4</f>
        <v>0.0177619739654167</v>
      </c>
      <c r="L112" s="24" t="n">
        <f aca="false">F112-E112</f>
        <v>31.1900000000005</v>
      </c>
      <c r="M112" s="26" t="n">
        <f aca="false">K112*L112</f>
        <v>0.553995967981357</v>
      </c>
    </row>
    <row r="113" customFormat="false" ht="15" hidden="false" customHeight="true" outlineLevel="0" collapsed="false">
      <c r="A113" s="19" t="n">
        <f aca="false">Pipe_Tally!A113</f>
        <v>112</v>
      </c>
      <c r="B113" s="19" t="str">
        <f aca="false">Pipe_Tally!D113</f>
        <v>5in 19.50 ppf S-135 drill pipe</v>
      </c>
      <c r="C113" s="26" t="n">
        <f aca="false">Pipe_Tally!F113</f>
        <v>5</v>
      </c>
      <c r="D113" s="26" t="n">
        <f aca="false">Pipe_Tally!G113</f>
        <v>4.276</v>
      </c>
      <c r="E113" s="24" t="n">
        <f aca="false">Pipe_Tally!L113</f>
        <v>9115.92</v>
      </c>
      <c r="F113" s="24" t="n">
        <f aca="false">Pipe_Tally!M113</f>
        <v>9146.87</v>
      </c>
      <c r="G113" s="24" t="n">
        <f aca="false">MAX(0,MIN(F113,Well_Data!$B$10)-MAX(E113,Well_Data!$B$23))</f>
        <v>30.9500000000007</v>
      </c>
      <c r="H113" s="26" t="n">
        <f aca="false">G113*(Well_Data!$B$26^2-C113^2)/1029.4</f>
        <v>1.4206212356713</v>
      </c>
      <c r="I113" s="24" t="n">
        <f aca="false">MAX(0,MIN(F113,Well_Data!$B$23)-E113)</f>
        <v>0</v>
      </c>
      <c r="J113" s="26" t="n">
        <f aca="false">I113*(Well_Data!$B$25^2-C113^2)/1029.4</f>
        <v>0</v>
      </c>
      <c r="K113" s="25" t="n">
        <f aca="false">D113^2/1029.4</f>
        <v>0.0177619739654167</v>
      </c>
      <c r="L113" s="24" t="n">
        <f aca="false">F113-E113</f>
        <v>30.9500000000007</v>
      </c>
      <c r="M113" s="26" t="n">
        <f aca="false">K113*L113</f>
        <v>0.549733094229661</v>
      </c>
    </row>
    <row r="114" customFormat="false" ht="15" hidden="false" customHeight="true" outlineLevel="0" collapsed="false">
      <c r="A114" s="19" t="n">
        <f aca="false">Pipe_Tally!A114</f>
        <v>113</v>
      </c>
      <c r="B114" s="19" t="str">
        <f aca="false">Pipe_Tally!D114</f>
        <v>5in 19.50 ppf S-135 drill pipe</v>
      </c>
      <c r="C114" s="26" t="n">
        <f aca="false">Pipe_Tally!F114</f>
        <v>5</v>
      </c>
      <c r="D114" s="26" t="n">
        <f aca="false">Pipe_Tally!G114</f>
        <v>4.276</v>
      </c>
      <c r="E114" s="24" t="n">
        <f aca="false">Pipe_Tally!L114</f>
        <v>9084.16</v>
      </c>
      <c r="F114" s="24" t="n">
        <f aca="false">Pipe_Tally!M114</f>
        <v>9115.92</v>
      </c>
      <c r="G114" s="24" t="n">
        <f aca="false">MAX(0,MIN(F114,Well_Data!$B$10)-MAX(E114,Well_Data!$B$23))</f>
        <v>31.7600000000002</v>
      </c>
      <c r="H114" s="26" t="n">
        <f aca="false">G114*(Well_Data!$B$26^2-C114^2)/1029.4</f>
        <v>1.45780066057899</v>
      </c>
      <c r="I114" s="24" t="n">
        <f aca="false">MAX(0,MIN(F114,Well_Data!$B$23)-E114)</f>
        <v>0</v>
      </c>
      <c r="J114" s="26" t="n">
        <f aca="false">I114*(Well_Data!$B$25^2-C114^2)/1029.4</f>
        <v>0</v>
      </c>
      <c r="K114" s="25" t="n">
        <f aca="false">D114^2/1029.4</f>
        <v>0.0177619739654167</v>
      </c>
      <c r="L114" s="24" t="n">
        <f aca="false">F114-E114</f>
        <v>31.7600000000002</v>
      </c>
      <c r="M114" s="26" t="n">
        <f aca="false">K114*L114</f>
        <v>0.56412029314164</v>
      </c>
    </row>
    <row r="115" customFormat="false" ht="15" hidden="false" customHeight="true" outlineLevel="0" collapsed="false">
      <c r="A115" s="19" t="n">
        <f aca="false">Pipe_Tally!A115</f>
        <v>114</v>
      </c>
      <c r="B115" s="19" t="str">
        <f aca="false">Pipe_Tally!D115</f>
        <v>5in 19.50 ppf S-135 drill pipe</v>
      </c>
      <c r="C115" s="26" t="n">
        <f aca="false">Pipe_Tally!F115</f>
        <v>5</v>
      </c>
      <c r="D115" s="26" t="n">
        <f aca="false">Pipe_Tally!G115</f>
        <v>4.276</v>
      </c>
      <c r="E115" s="24" t="n">
        <f aca="false">Pipe_Tally!L115</f>
        <v>9052.84</v>
      </c>
      <c r="F115" s="24" t="n">
        <f aca="false">Pipe_Tally!M115</f>
        <v>9084.16</v>
      </c>
      <c r="G115" s="24" t="n">
        <f aca="false">MAX(0,MIN(F115,Well_Data!$B$10)-MAX(E115,Well_Data!$B$23))</f>
        <v>31.3199999999997</v>
      </c>
      <c r="H115" s="26" t="n">
        <f aca="false">G115*(Well_Data!$B$26^2-C115^2)/1029.4</f>
        <v>1.4376044297649</v>
      </c>
      <c r="I115" s="24" t="n">
        <f aca="false">MAX(0,MIN(F115,Well_Data!$B$23)-E115)</f>
        <v>0</v>
      </c>
      <c r="J115" s="26" t="n">
        <f aca="false">I115*(Well_Data!$B$25^2-C115^2)/1029.4</f>
        <v>0</v>
      </c>
      <c r="K115" s="25" t="n">
        <f aca="false">D115^2/1029.4</f>
        <v>0.0177619739654167</v>
      </c>
      <c r="L115" s="24" t="n">
        <f aca="false">F115-E115</f>
        <v>31.3199999999997</v>
      </c>
      <c r="M115" s="26" t="n">
        <f aca="false">K115*L115</f>
        <v>0.556305024596847</v>
      </c>
    </row>
    <row r="116" customFormat="false" ht="15" hidden="false" customHeight="true" outlineLevel="0" collapsed="false">
      <c r="A116" s="19" t="n">
        <f aca="false">Pipe_Tally!A116</f>
        <v>115</v>
      </c>
      <c r="B116" s="19" t="str">
        <f aca="false">Pipe_Tally!D116</f>
        <v>5in 19.50 ppf S-135 drill pipe</v>
      </c>
      <c r="C116" s="26" t="n">
        <f aca="false">Pipe_Tally!F116</f>
        <v>5</v>
      </c>
      <c r="D116" s="26" t="n">
        <f aca="false">Pipe_Tally!G116</f>
        <v>4.276</v>
      </c>
      <c r="E116" s="24" t="n">
        <f aca="false">Pipe_Tally!L116</f>
        <v>9021.67</v>
      </c>
      <c r="F116" s="24" t="n">
        <f aca="false">Pipe_Tally!M116</f>
        <v>9052.84</v>
      </c>
      <c r="G116" s="24" t="n">
        <f aca="false">MAX(0,MIN(F116,Well_Data!$B$10)-MAX(E116,Well_Data!$B$23))</f>
        <v>31.1700000000001</v>
      </c>
      <c r="H116" s="26" t="n">
        <f aca="false">G116*(Well_Data!$B$26^2-C116^2)/1029.4</f>
        <v>1.4307193510783</v>
      </c>
      <c r="I116" s="24" t="n">
        <f aca="false">MAX(0,MIN(F116,Well_Data!$B$23)-E116)</f>
        <v>0</v>
      </c>
      <c r="J116" s="26" t="n">
        <f aca="false">I116*(Well_Data!$B$25^2-C116^2)/1029.4</f>
        <v>0</v>
      </c>
      <c r="K116" s="25" t="n">
        <f aca="false">D116^2/1029.4</f>
        <v>0.0177619739654167</v>
      </c>
      <c r="L116" s="24" t="n">
        <f aca="false">F116-E116</f>
        <v>31.1700000000001</v>
      </c>
      <c r="M116" s="26" t="n">
        <f aca="false">K116*L116</f>
        <v>0.553640728502041</v>
      </c>
    </row>
    <row r="117" customFormat="false" ht="15" hidden="false" customHeight="true" outlineLevel="0" collapsed="false">
      <c r="A117" s="19" t="n">
        <f aca="false">Pipe_Tally!A117</f>
        <v>116</v>
      </c>
      <c r="B117" s="19" t="str">
        <f aca="false">Pipe_Tally!D117</f>
        <v>5in 19.50 ppf S-135 drill pipe</v>
      </c>
      <c r="C117" s="26" t="n">
        <f aca="false">Pipe_Tally!F117</f>
        <v>5</v>
      </c>
      <c r="D117" s="26" t="n">
        <f aca="false">Pipe_Tally!G117</f>
        <v>4.276</v>
      </c>
      <c r="E117" s="24" t="n">
        <f aca="false">Pipe_Tally!L117</f>
        <v>8990.52</v>
      </c>
      <c r="F117" s="24" t="n">
        <f aca="false">Pipe_Tally!M117</f>
        <v>9021.67</v>
      </c>
      <c r="G117" s="24" t="n">
        <f aca="false">MAX(0,MIN(F117,Well_Data!$B$10)-MAX(E117,Well_Data!$B$23))</f>
        <v>31.1499999999996</v>
      </c>
      <c r="H117" s="26" t="n">
        <f aca="false">G117*(Well_Data!$B$26^2-C117^2)/1029.4</f>
        <v>1.42980134058673</v>
      </c>
      <c r="I117" s="24" t="n">
        <f aca="false">MAX(0,MIN(F117,Well_Data!$B$23)-E117)</f>
        <v>0</v>
      </c>
      <c r="J117" s="26" t="n">
        <f aca="false">I117*(Well_Data!$B$25^2-C117^2)/1029.4</f>
        <v>0</v>
      </c>
      <c r="K117" s="25" t="n">
        <f aca="false">D117^2/1029.4</f>
        <v>0.0177619739654167</v>
      </c>
      <c r="L117" s="24" t="n">
        <f aca="false">F117-E117</f>
        <v>31.1499999999996</v>
      </c>
      <c r="M117" s="26" t="n">
        <f aca="false">K117*L117</f>
        <v>0.553285489022725</v>
      </c>
    </row>
    <row r="118" customFormat="false" ht="15" hidden="false" customHeight="true" outlineLevel="0" collapsed="false">
      <c r="A118" s="19" t="n">
        <f aca="false">Pipe_Tally!A118</f>
        <v>117</v>
      </c>
      <c r="B118" s="19" t="str">
        <f aca="false">Pipe_Tally!D118</f>
        <v>5in 19.50 ppf S-135 drill pipe</v>
      </c>
      <c r="C118" s="26" t="n">
        <f aca="false">Pipe_Tally!F118</f>
        <v>5</v>
      </c>
      <c r="D118" s="26" t="n">
        <f aca="false">Pipe_Tally!G118</f>
        <v>4.276</v>
      </c>
      <c r="E118" s="24" t="n">
        <f aca="false">Pipe_Tally!L118</f>
        <v>8959.8</v>
      </c>
      <c r="F118" s="24" t="n">
        <f aca="false">Pipe_Tally!M118</f>
        <v>8990.52</v>
      </c>
      <c r="G118" s="24" t="n">
        <f aca="false">MAX(0,MIN(F118,Well_Data!$B$10)-MAX(E118,Well_Data!$B$23))</f>
        <v>30.7199999999993</v>
      </c>
      <c r="H118" s="26" t="n">
        <f aca="false">G118*(Well_Data!$B$26^2-C118^2)/1029.4</f>
        <v>1.41006411501843</v>
      </c>
      <c r="I118" s="24" t="n">
        <f aca="false">MAX(0,MIN(F118,Well_Data!$B$23)-E118)</f>
        <v>0</v>
      </c>
      <c r="J118" s="26" t="n">
        <f aca="false">I118*(Well_Data!$B$25^2-C118^2)/1029.4</f>
        <v>0</v>
      </c>
      <c r="K118" s="25" t="n">
        <f aca="false">D118^2/1029.4</f>
        <v>0.0177619739654167</v>
      </c>
      <c r="L118" s="24" t="n">
        <f aca="false">F118-E118</f>
        <v>30.7199999999993</v>
      </c>
      <c r="M118" s="26" t="n">
        <f aca="false">K118*L118</f>
        <v>0.545647840217591</v>
      </c>
    </row>
    <row r="119" customFormat="false" ht="15" hidden="false" customHeight="true" outlineLevel="0" collapsed="false">
      <c r="A119" s="19" t="n">
        <f aca="false">Pipe_Tally!A119</f>
        <v>118</v>
      </c>
      <c r="B119" s="19" t="str">
        <f aca="false">Pipe_Tally!D119</f>
        <v>5in 19.50 ppf S-135 drill pipe</v>
      </c>
      <c r="C119" s="26" t="n">
        <f aca="false">Pipe_Tally!F119</f>
        <v>5</v>
      </c>
      <c r="D119" s="26" t="n">
        <f aca="false">Pipe_Tally!G119</f>
        <v>4.276</v>
      </c>
      <c r="E119" s="24" t="n">
        <f aca="false">Pipe_Tally!L119</f>
        <v>8928.18</v>
      </c>
      <c r="F119" s="24" t="n">
        <f aca="false">Pipe_Tally!M119</f>
        <v>8959.8</v>
      </c>
      <c r="G119" s="24" t="n">
        <f aca="false">MAX(0,MIN(F119,Well_Data!$B$10)-MAX(E119,Well_Data!$B$23))</f>
        <v>31.6200000000008</v>
      </c>
      <c r="H119" s="26" t="n">
        <f aca="false">G119*(Well_Data!$B$26^2-C119^2)/1029.4</f>
        <v>1.45137458713818</v>
      </c>
      <c r="I119" s="24" t="n">
        <f aca="false">MAX(0,MIN(F119,Well_Data!$B$23)-E119)</f>
        <v>0</v>
      </c>
      <c r="J119" s="26" t="n">
        <f aca="false">I119*(Well_Data!$B$25^2-C119^2)/1029.4</f>
        <v>0</v>
      </c>
      <c r="K119" s="25" t="n">
        <f aca="false">D119^2/1029.4</f>
        <v>0.0177619739654167</v>
      </c>
      <c r="L119" s="24" t="n">
        <f aca="false">F119-E119</f>
        <v>31.6200000000008</v>
      </c>
      <c r="M119" s="26" t="n">
        <f aca="false">K119*L119</f>
        <v>0.561633616786492</v>
      </c>
    </row>
    <row r="120" customFormat="false" ht="15" hidden="false" customHeight="true" outlineLevel="0" collapsed="false">
      <c r="A120" s="19" t="n">
        <f aca="false">Pipe_Tally!A120</f>
        <v>119</v>
      </c>
      <c r="B120" s="19" t="str">
        <f aca="false">Pipe_Tally!D120</f>
        <v>5in 19.50 ppf S-135 drill pipe</v>
      </c>
      <c r="C120" s="26" t="n">
        <f aca="false">Pipe_Tally!F120</f>
        <v>5</v>
      </c>
      <c r="D120" s="26" t="n">
        <f aca="false">Pipe_Tally!G120</f>
        <v>4.276</v>
      </c>
      <c r="E120" s="24" t="n">
        <f aca="false">Pipe_Tally!L120</f>
        <v>8897.25</v>
      </c>
      <c r="F120" s="24" t="n">
        <f aca="false">Pipe_Tally!M120</f>
        <v>8928.18</v>
      </c>
      <c r="G120" s="24" t="n">
        <f aca="false">MAX(0,MIN(F120,Well_Data!$B$10)-MAX(E120,Well_Data!$B$23))</f>
        <v>30.9300000000003</v>
      </c>
      <c r="H120" s="26" t="n">
        <f aca="false">G120*(Well_Data!$B$26^2-C120^2)/1029.4</f>
        <v>1.41970322517973</v>
      </c>
      <c r="I120" s="24" t="n">
        <f aca="false">MAX(0,MIN(F120,Well_Data!$B$23)-E120)</f>
        <v>0</v>
      </c>
      <c r="J120" s="26" t="n">
        <f aca="false">I120*(Well_Data!$B$25^2-C120^2)/1029.4</f>
        <v>0</v>
      </c>
      <c r="K120" s="25" t="n">
        <f aca="false">D120^2/1029.4</f>
        <v>0.0177619739654167</v>
      </c>
      <c r="L120" s="24" t="n">
        <f aca="false">F120-E120</f>
        <v>30.9300000000003</v>
      </c>
      <c r="M120" s="26" t="n">
        <f aca="false">K120*L120</f>
        <v>0.549377854750345</v>
      </c>
    </row>
    <row r="121" customFormat="false" ht="15" hidden="false" customHeight="true" outlineLevel="0" collapsed="false">
      <c r="A121" s="19" t="n">
        <f aca="false">Pipe_Tally!A121</f>
        <v>120</v>
      </c>
      <c r="B121" s="19" t="str">
        <f aca="false">Pipe_Tally!D121</f>
        <v>5in 19.50 ppf S-135 drill pipe</v>
      </c>
      <c r="C121" s="26" t="n">
        <f aca="false">Pipe_Tally!F121</f>
        <v>5</v>
      </c>
      <c r="D121" s="26" t="n">
        <f aca="false">Pipe_Tally!G121</f>
        <v>4.276</v>
      </c>
      <c r="E121" s="24" t="n">
        <f aca="false">Pipe_Tally!L121</f>
        <v>8865.88</v>
      </c>
      <c r="F121" s="24" t="n">
        <f aca="false">Pipe_Tally!M121</f>
        <v>8897.25</v>
      </c>
      <c r="G121" s="24" t="n">
        <f aca="false">MAX(0,MIN(F121,Well_Data!$B$10)-MAX(E121,Well_Data!$B$23))</f>
        <v>31.3700000000008</v>
      </c>
      <c r="H121" s="26" t="n">
        <f aca="false">G121*(Well_Data!$B$26^2-C121^2)/1029.4</f>
        <v>1.43989945599382</v>
      </c>
      <c r="I121" s="24" t="n">
        <f aca="false">MAX(0,MIN(F121,Well_Data!$B$23)-E121)</f>
        <v>0</v>
      </c>
      <c r="J121" s="26" t="n">
        <f aca="false">I121*(Well_Data!$B$25^2-C121^2)/1029.4</f>
        <v>0</v>
      </c>
      <c r="K121" s="25" t="n">
        <f aca="false">D121^2/1029.4</f>
        <v>0.0177619739654167</v>
      </c>
      <c r="L121" s="24" t="n">
        <f aca="false">F121-E121</f>
        <v>31.3700000000008</v>
      </c>
      <c r="M121" s="26" t="n">
        <f aca="false">K121*L121</f>
        <v>0.557193123295138</v>
      </c>
    </row>
    <row r="122" customFormat="false" ht="15" hidden="false" customHeight="true" outlineLevel="0" collapsed="false">
      <c r="A122" s="19" t="n">
        <f aca="false">Pipe_Tally!A122</f>
        <v>121</v>
      </c>
      <c r="B122" s="19" t="str">
        <f aca="false">Pipe_Tally!D122</f>
        <v>5in 19.50 ppf S-135 drill pipe</v>
      </c>
      <c r="C122" s="26" t="n">
        <f aca="false">Pipe_Tally!F122</f>
        <v>5</v>
      </c>
      <c r="D122" s="26" t="n">
        <f aca="false">Pipe_Tally!G122</f>
        <v>4.276</v>
      </c>
      <c r="E122" s="24" t="n">
        <f aca="false">Pipe_Tally!L122</f>
        <v>8834.41</v>
      </c>
      <c r="F122" s="24" t="n">
        <f aca="false">Pipe_Tally!M122</f>
        <v>8865.88</v>
      </c>
      <c r="G122" s="24" t="n">
        <f aca="false">MAX(0,MIN(F122,Well_Data!$B$10)-MAX(E122,Well_Data!$B$23))</f>
        <v>31.4699999999993</v>
      </c>
      <c r="H122" s="26" t="n">
        <f aca="false">G122*(Well_Data!$B$26^2-C122^2)/1029.4</f>
        <v>1.4444895084515</v>
      </c>
      <c r="I122" s="24" t="n">
        <f aca="false">MAX(0,MIN(F122,Well_Data!$B$23)-E122)</f>
        <v>0</v>
      </c>
      <c r="J122" s="26" t="n">
        <f aca="false">I122*(Well_Data!$B$25^2-C122^2)/1029.4</f>
        <v>0</v>
      </c>
      <c r="K122" s="25" t="n">
        <f aca="false">D122^2/1029.4</f>
        <v>0.0177619739654167</v>
      </c>
      <c r="L122" s="24" t="n">
        <f aca="false">F122-E122</f>
        <v>31.4699999999993</v>
      </c>
      <c r="M122" s="26" t="n">
        <f aca="false">K122*L122</f>
        <v>0.558969320691653</v>
      </c>
    </row>
    <row r="123" customFormat="false" ht="15" hidden="false" customHeight="true" outlineLevel="0" collapsed="false">
      <c r="A123" s="19" t="n">
        <f aca="false">Pipe_Tally!A123</f>
        <v>122</v>
      </c>
      <c r="B123" s="19" t="str">
        <f aca="false">Pipe_Tally!D123</f>
        <v>5in 19.50 ppf S-135 drill pipe</v>
      </c>
      <c r="C123" s="26" t="n">
        <f aca="false">Pipe_Tally!F123</f>
        <v>5</v>
      </c>
      <c r="D123" s="26" t="n">
        <f aca="false">Pipe_Tally!G123</f>
        <v>4.276</v>
      </c>
      <c r="E123" s="24" t="n">
        <f aca="false">Pipe_Tally!L123</f>
        <v>8803.16</v>
      </c>
      <c r="F123" s="24" t="n">
        <f aca="false">Pipe_Tally!M123</f>
        <v>8834.41</v>
      </c>
      <c r="G123" s="24" t="n">
        <f aca="false">MAX(0,MIN(F123,Well_Data!$B$10)-MAX(E123,Well_Data!$B$23))</f>
        <v>31.25</v>
      </c>
      <c r="H123" s="26" t="n">
        <f aca="false">G123*(Well_Data!$B$26^2-C123^2)/1029.4</f>
        <v>1.43439139304449</v>
      </c>
      <c r="I123" s="24" t="n">
        <f aca="false">MAX(0,MIN(F123,Well_Data!$B$23)-E123)</f>
        <v>0</v>
      </c>
      <c r="J123" s="26" t="n">
        <f aca="false">I123*(Well_Data!$B$25^2-C123^2)/1029.4</f>
        <v>0</v>
      </c>
      <c r="K123" s="25" t="n">
        <f aca="false">D123^2/1029.4</f>
        <v>0.0177619739654167</v>
      </c>
      <c r="L123" s="24" t="n">
        <f aca="false">F123-E123</f>
        <v>31.25</v>
      </c>
      <c r="M123" s="26" t="n">
        <f aca="false">K123*L123</f>
        <v>0.555061686419273</v>
      </c>
    </row>
    <row r="124" customFormat="false" ht="15" hidden="false" customHeight="true" outlineLevel="0" collapsed="false">
      <c r="A124" s="19" t="n">
        <f aca="false">Pipe_Tally!A124</f>
        <v>123</v>
      </c>
      <c r="B124" s="19" t="str">
        <f aca="false">Pipe_Tally!D124</f>
        <v>5in 19.50 ppf S-135 drill pipe</v>
      </c>
      <c r="C124" s="26" t="n">
        <f aca="false">Pipe_Tally!F124</f>
        <v>5</v>
      </c>
      <c r="D124" s="26" t="n">
        <f aca="false">Pipe_Tally!G124</f>
        <v>4.276</v>
      </c>
      <c r="E124" s="24" t="n">
        <f aca="false">Pipe_Tally!L124</f>
        <v>8772.24</v>
      </c>
      <c r="F124" s="24" t="n">
        <f aca="false">Pipe_Tally!M124</f>
        <v>8803.16</v>
      </c>
      <c r="G124" s="24" t="n">
        <f aca="false">MAX(0,MIN(F124,Well_Data!$B$10)-MAX(E124,Well_Data!$B$23))</f>
        <v>30.9200000000001</v>
      </c>
      <c r="H124" s="26" t="n">
        <f aca="false">G124*(Well_Data!$B$26^2-C124^2)/1029.4</f>
        <v>1.41924421993395</v>
      </c>
      <c r="I124" s="24" t="n">
        <f aca="false">MAX(0,MIN(F124,Well_Data!$B$23)-E124)</f>
        <v>0</v>
      </c>
      <c r="J124" s="26" t="n">
        <f aca="false">I124*(Well_Data!$B$25^2-C124^2)/1029.4</f>
        <v>0</v>
      </c>
      <c r="K124" s="25" t="n">
        <f aca="false">D124^2/1029.4</f>
        <v>0.0177619739654167</v>
      </c>
      <c r="L124" s="24" t="n">
        <f aca="false">F124-E124</f>
        <v>30.9200000000001</v>
      </c>
      <c r="M124" s="26" t="n">
        <f aca="false">K124*L124</f>
        <v>0.549200235010687</v>
      </c>
    </row>
    <row r="125" customFormat="false" ht="15" hidden="false" customHeight="true" outlineLevel="0" collapsed="false">
      <c r="A125" s="19" t="n">
        <f aca="false">Pipe_Tally!A125</f>
        <v>124</v>
      </c>
      <c r="B125" s="19" t="str">
        <f aca="false">Pipe_Tally!D125</f>
        <v>5in 19.50 ppf S-135 drill pipe</v>
      </c>
      <c r="C125" s="26" t="n">
        <f aca="false">Pipe_Tally!F125</f>
        <v>5</v>
      </c>
      <c r="D125" s="26" t="n">
        <f aca="false">Pipe_Tally!G125</f>
        <v>4.276</v>
      </c>
      <c r="E125" s="24" t="n">
        <f aca="false">Pipe_Tally!L125</f>
        <v>8741.3</v>
      </c>
      <c r="F125" s="24" t="n">
        <f aca="false">Pipe_Tally!M125</f>
        <v>8772.24</v>
      </c>
      <c r="G125" s="24" t="n">
        <f aca="false">MAX(0,MIN(F125,Well_Data!$B$10)-MAX(E125,Well_Data!$B$23))</f>
        <v>30.9400000000005</v>
      </c>
      <c r="H125" s="26" t="n">
        <f aca="false">G125*(Well_Data!$B$26^2-C125^2)/1029.4</f>
        <v>1.42016223042551</v>
      </c>
      <c r="I125" s="24" t="n">
        <f aca="false">MAX(0,MIN(F125,Well_Data!$B$23)-E125)</f>
        <v>0</v>
      </c>
      <c r="J125" s="26" t="n">
        <f aca="false">I125*(Well_Data!$B$25^2-C125^2)/1029.4</f>
        <v>0</v>
      </c>
      <c r="K125" s="25" t="n">
        <f aca="false">D125^2/1029.4</f>
        <v>0.0177619739654167</v>
      </c>
      <c r="L125" s="24" t="n">
        <f aca="false">F125-E125</f>
        <v>30.9400000000005</v>
      </c>
      <c r="M125" s="26" t="n">
        <f aca="false">K125*L125</f>
        <v>0.549555474490003</v>
      </c>
    </row>
    <row r="126" customFormat="false" ht="15" hidden="false" customHeight="true" outlineLevel="0" collapsed="false">
      <c r="A126" s="19" t="n">
        <f aca="false">Pipe_Tally!A126</f>
        <v>125</v>
      </c>
      <c r="B126" s="19" t="str">
        <f aca="false">Pipe_Tally!D126</f>
        <v>5in 19.50 ppf S-135 drill pipe</v>
      </c>
      <c r="C126" s="26" t="n">
        <f aca="false">Pipe_Tally!F126</f>
        <v>5</v>
      </c>
      <c r="D126" s="26" t="n">
        <f aca="false">Pipe_Tally!G126</f>
        <v>4.276</v>
      </c>
      <c r="E126" s="24" t="n">
        <f aca="false">Pipe_Tally!L126</f>
        <v>8710.36</v>
      </c>
      <c r="F126" s="24" t="n">
        <f aca="false">Pipe_Tally!M126</f>
        <v>8741.3</v>
      </c>
      <c r="G126" s="24" t="n">
        <f aca="false">MAX(0,MIN(F126,Well_Data!$B$10)-MAX(E126,Well_Data!$B$23))</f>
        <v>30.9400000000005</v>
      </c>
      <c r="H126" s="26" t="n">
        <f aca="false">G126*(Well_Data!$B$26^2-C126^2)/1029.4</f>
        <v>1.42016223042551</v>
      </c>
      <c r="I126" s="24" t="n">
        <f aca="false">MAX(0,MIN(F126,Well_Data!$B$23)-E126)</f>
        <v>0</v>
      </c>
      <c r="J126" s="26" t="n">
        <f aca="false">I126*(Well_Data!$B$25^2-C126^2)/1029.4</f>
        <v>0</v>
      </c>
      <c r="K126" s="25" t="n">
        <f aca="false">D126^2/1029.4</f>
        <v>0.0177619739654167</v>
      </c>
      <c r="L126" s="24" t="n">
        <f aca="false">F126-E126</f>
        <v>30.9400000000005</v>
      </c>
      <c r="M126" s="26" t="n">
        <f aca="false">K126*L126</f>
        <v>0.549555474490003</v>
      </c>
    </row>
    <row r="127" customFormat="false" ht="15" hidden="false" customHeight="true" outlineLevel="0" collapsed="false">
      <c r="A127" s="19" t="n">
        <f aca="false">Pipe_Tally!A127</f>
        <v>126</v>
      </c>
      <c r="B127" s="19" t="str">
        <f aca="false">Pipe_Tally!D127</f>
        <v>5in 19.50 ppf S-135 drill pipe</v>
      </c>
      <c r="C127" s="26" t="n">
        <f aca="false">Pipe_Tally!F127</f>
        <v>5</v>
      </c>
      <c r="D127" s="26" t="n">
        <f aca="false">Pipe_Tally!G127</f>
        <v>4.276</v>
      </c>
      <c r="E127" s="24" t="n">
        <f aca="false">Pipe_Tally!L127</f>
        <v>8679.44</v>
      </c>
      <c r="F127" s="24" t="n">
        <f aca="false">Pipe_Tally!M127</f>
        <v>8710.36</v>
      </c>
      <c r="G127" s="24" t="n">
        <f aca="false">MAX(0,MIN(F127,Well_Data!$B$10)-MAX(E127,Well_Data!$B$23))</f>
        <v>30.9200000000001</v>
      </c>
      <c r="H127" s="26" t="n">
        <f aca="false">G127*(Well_Data!$B$26^2-C127^2)/1029.4</f>
        <v>1.41924421993395</v>
      </c>
      <c r="I127" s="24" t="n">
        <f aca="false">MAX(0,MIN(F127,Well_Data!$B$23)-E127)</f>
        <v>0</v>
      </c>
      <c r="J127" s="26" t="n">
        <f aca="false">I127*(Well_Data!$B$25^2-C127^2)/1029.4</f>
        <v>0</v>
      </c>
      <c r="K127" s="25" t="n">
        <f aca="false">D127^2/1029.4</f>
        <v>0.0177619739654167</v>
      </c>
      <c r="L127" s="24" t="n">
        <f aca="false">F127-E127</f>
        <v>30.9200000000001</v>
      </c>
      <c r="M127" s="26" t="n">
        <f aca="false">K127*L127</f>
        <v>0.549200235010687</v>
      </c>
    </row>
    <row r="128" customFormat="false" ht="15" hidden="false" customHeight="true" outlineLevel="0" collapsed="false">
      <c r="A128" s="19" t="n">
        <f aca="false">Pipe_Tally!A128</f>
        <v>127</v>
      </c>
      <c r="B128" s="19" t="str">
        <f aca="false">Pipe_Tally!D128</f>
        <v>5in 19.50 ppf S-135 drill pipe</v>
      </c>
      <c r="C128" s="26" t="n">
        <f aca="false">Pipe_Tally!F128</f>
        <v>5</v>
      </c>
      <c r="D128" s="26" t="n">
        <f aca="false">Pipe_Tally!G128</f>
        <v>4.276</v>
      </c>
      <c r="E128" s="24" t="n">
        <f aca="false">Pipe_Tally!L128</f>
        <v>8648.24</v>
      </c>
      <c r="F128" s="24" t="n">
        <f aca="false">Pipe_Tally!M128</f>
        <v>8679.44</v>
      </c>
      <c r="G128" s="24" t="n">
        <f aca="false">MAX(0,MIN(F128,Well_Data!$B$10)-MAX(E128,Well_Data!$B$23))</f>
        <v>31.2000000000007</v>
      </c>
      <c r="H128" s="26" t="n">
        <f aca="false">G128*(Well_Data!$B$26^2-C128^2)/1029.4</f>
        <v>1.43209636681565</v>
      </c>
      <c r="I128" s="24" t="n">
        <f aca="false">MAX(0,MIN(F128,Well_Data!$B$23)-E128)</f>
        <v>0</v>
      </c>
      <c r="J128" s="26" t="n">
        <f aca="false">I128*(Well_Data!$B$25^2-C128^2)/1029.4</f>
        <v>0</v>
      </c>
      <c r="K128" s="25" t="n">
        <f aca="false">D128^2/1029.4</f>
        <v>0.0177619739654167</v>
      </c>
      <c r="L128" s="24" t="n">
        <f aca="false">F128-E128</f>
        <v>31.2000000000007</v>
      </c>
      <c r="M128" s="26" t="n">
        <f aca="false">K128*L128</f>
        <v>0.554173587721015</v>
      </c>
    </row>
    <row r="129" customFormat="false" ht="15" hidden="false" customHeight="true" outlineLevel="0" collapsed="false">
      <c r="A129" s="19" t="n">
        <f aca="false">Pipe_Tally!A129</f>
        <v>128</v>
      </c>
      <c r="B129" s="19" t="str">
        <f aca="false">Pipe_Tally!D129</f>
        <v>5in 19.50 ppf S-135 drill pipe</v>
      </c>
      <c r="C129" s="26" t="n">
        <f aca="false">Pipe_Tally!F129</f>
        <v>5</v>
      </c>
      <c r="D129" s="26" t="n">
        <f aca="false">Pipe_Tally!G129</f>
        <v>4.276</v>
      </c>
      <c r="E129" s="24" t="n">
        <f aca="false">Pipe_Tally!L129</f>
        <v>8617.45</v>
      </c>
      <c r="F129" s="24" t="n">
        <f aca="false">Pipe_Tally!M129</f>
        <v>8648.24</v>
      </c>
      <c r="G129" s="24" t="n">
        <f aca="false">MAX(0,MIN(F129,Well_Data!$B$10)-MAX(E129,Well_Data!$B$23))</f>
        <v>30.7900000000009</v>
      </c>
      <c r="H129" s="26" t="n">
        <f aca="false">G129*(Well_Data!$B$26^2-C129^2)/1029.4</f>
        <v>1.41327715173892</v>
      </c>
      <c r="I129" s="24" t="n">
        <f aca="false">MAX(0,MIN(F129,Well_Data!$B$23)-E129)</f>
        <v>0</v>
      </c>
      <c r="J129" s="26" t="n">
        <f aca="false">I129*(Well_Data!$B$25^2-C129^2)/1029.4</f>
        <v>0</v>
      </c>
      <c r="K129" s="25" t="n">
        <f aca="false">D129^2/1029.4</f>
        <v>0.0177619739654167</v>
      </c>
      <c r="L129" s="24" t="n">
        <f aca="false">F129-E129</f>
        <v>30.7900000000009</v>
      </c>
      <c r="M129" s="26" t="n">
        <f aca="false">K129*L129</f>
        <v>0.546891178395197</v>
      </c>
    </row>
    <row r="130" customFormat="false" ht="15" hidden="false" customHeight="true" outlineLevel="0" collapsed="false">
      <c r="A130" s="19" t="n">
        <f aca="false">Pipe_Tally!A130</f>
        <v>129</v>
      </c>
      <c r="B130" s="19" t="str">
        <f aca="false">Pipe_Tally!D130</f>
        <v>5in 19.50 ppf S-135 drill pipe</v>
      </c>
      <c r="C130" s="26" t="n">
        <f aca="false">Pipe_Tally!F130</f>
        <v>5</v>
      </c>
      <c r="D130" s="26" t="n">
        <f aca="false">Pipe_Tally!G130</f>
        <v>4.276</v>
      </c>
      <c r="E130" s="24" t="n">
        <f aca="false">Pipe_Tally!L130</f>
        <v>8586.56</v>
      </c>
      <c r="F130" s="24" t="n">
        <f aca="false">Pipe_Tally!M130</f>
        <v>8617.45</v>
      </c>
      <c r="G130" s="24" t="n">
        <f aca="false">MAX(0,MIN(F130,Well_Data!$B$10)-MAX(E130,Well_Data!$B$23))</f>
        <v>30.8899999999994</v>
      </c>
      <c r="H130" s="26" t="n">
        <f aca="false">G130*(Well_Data!$B$26^2-C130^2)/1029.4</f>
        <v>1.41786720419659</v>
      </c>
      <c r="I130" s="24" t="n">
        <f aca="false">MAX(0,MIN(F130,Well_Data!$B$23)-E130)</f>
        <v>0</v>
      </c>
      <c r="J130" s="26" t="n">
        <f aca="false">I130*(Well_Data!$B$25^2-C130^2)/1029.4</f>
        <v>0</v>
      </c>
      <c r="K130" s="25" t="n">
        <f aca="false">D130^2/1029.4</f>
        <v>0.0177619739654167</v>
      </c>
      <c r="L130" s="24" t="n">
        <f aca="false">F130-E130</f>
        <v>30.8899999999994</v>
      </c>
      <c r="M130" s="26" t="n">
        <f aca="false">K130*L130</f>
        <v>0.548667375791713</v>
      </c>
    </row>
    <row r="131" customFormat="false" ht="15" hidden="false" customHeight="true" outlineLevel="0" collapsed="false">
      <c r="A131" s="19" t="n">
        <f aca="false">Pipe_Tally!A131</f>
        <v>130</v>
      </c>
      <c r="B131" s="19" t="str">
        <f aca="false">Pipe_Tally!D131</f>
        <v>5in 19.50 ppf S-135 drill pipe</v>
      </c>
      <c r="C131" s="26" t="n">
        <f aca="false">Pipe_Tally!F131</f>
        <v>5</v>
      </c>
      <c r="D131" s="26" t="n">
        <f aca="false">Pipe_Tally!G131</f>
        <v>4.276</v>
      </c>
      <c r="E131" s="24" t="n">
        <f aca="false">Pipe_Tally!L131</f>
        <v>8555.22</v>
      </c>
      <c r="F131" s="24" t="n">
        <f aca="false">Pipe_Tally!M131</f>
        <v>8586.56</v>
      </c>
      <c r="G131" s="24" t="n">
        <f aca="false">MAX(0,MIN(F131,Well_Data!$B$10)-MAX(E131,Well_Data!$B$23))</f>
        <v>31.3400000000001</v>
      </c>
      <c r="H131" s="26" t="n">
        <f aca="false">G131*(Well_Data!$B$26^2-C131^2)/1029.4</f>
        <v>1.43852244025647</v>
      </c>
      <c r="I131" s="24" t="n">
        <f aca="false">MAX(0,MIN(F131,Well_Data!$B$23)-E131)</f>
        <v>0</v>
      </c>
      <c r="J131" s="26" t="n">
        <f aca="false">I131*(Well_Data!$B$25^2-C131^2)/1029.4</f>
        <v>0</v>
      </c>
      <c r="K131" s="25" t="n">
        <f aca="false">D131^2/1029.4</f>
        <v>0.0177619739654167</v>
      </c>
      <c r="L131" s="24" t="n">
        <f aca="false">F131-E131</f>
        <v>31.3400000000001</v>
      </c>
      <c r="M131" s="26" t="n">
        <f aca="false">K131*L131</f>
        <v>0.556660264076163</v>
      </c>
    </row>
    <row r="132" customFormat="false" ht="15" hidden="false" customHeight="true" outlineLevel="0" collapsed="false">
      <c r="A132" s="19" t="n">
        <f aca="false">Pipe_Tally!A132</f>
        <v>131</v>
      </c>
      <c r="B132" s="19" t="str">
        <f aca="false">Pipe_Tally!D132</f>
        <v>5in 19.50 ppf S-135 drill pipe</v>
      </c>
      <c r="C132" s="26" t="n">
        <f aca="false">Pipe_Tally!F132</f>
        <v>5</v>
      </c>
      <c r="D132" s="26" t="n">
        <f aca="false">Pipe_Tally!G132</f>
        <v>4.276</v>
      </c>
      <c r="E132" s="24" t="n">
        <f aca="false">Pipe_Tally!L132</f>
        <v>8523.62</v>
      </c>
      <c r="F132" s="24" t="n">
        <f aca="false">Pipe_Tally!M132</f>
        <v>8555.22</v>
      </c>
      <c r="G132" s="24" t="n">
        <f aca="false">MAX(0,MIN(F132,Well_Data!$B$10)-MAX(E132,Well_Data!$B$23))</f>
        <v>31.6000000000004</v>
      </c>
      <c r="H132" s="26" t="n">
        <f aca="false">G132*(Well_Data!$B$26^2-C132^2)/1029.4</f>
        <v>1.45045657664661</v>
      </c>
      <c r="I132" s="24" t="n">
        <f aca="false">MAX(0,MIN(F132,Well_Data!$B$23)-E132)</f>
        <v>0</v>
      </c>
      <c r="J132" s="26" t="n">
        <f aca="false">I132*(Well_Data!$B$25^2-C132^2)/1029.4</f>
        <v>0</v>
      </c>
      <c r="K132" s="25" t="n">
        <f aca="false">D132^2/1029.4</f>
        <v>0.0177619739654167</v>
      </c>
      <c r="L132" s="24" t="n">
        <f aca="false">F132-E132</f>
        <v>31.6000000000004</v>
      </c>
      <c r="M132" s="26" t="n">
        <f aca="false">K132*L132</f>
        <v>0.561278377307176</v>
      </c>
    </row>
    <row r="133" customFormat="false" ht="15" hidden="false" customHeight="true" outlineLevel="0" collapsed="false">
      <c r="A133" s="19" t="n">
        <f aca="false">Pipe_Tally!A133</f>
        <v>132</v>
      </c>
      <c r="B133" s="19" t="str">
        <f aca="false">Pipe_Tally!D133</f>
        <v>5in 19.50 ppf S-135 drill pipe</v>
      </c>
      <c r="C133" s="26" t="n">
        <f aca="false">Pipe_Tally!F133</f>
        <v>5</v>
      </c>
      <c r="D133" s="26" t="n">
        <f aca="false">Pipe_Tally!G133</f>
        <v>4.276</v>
      </c>
      <c r="E133" s="24" t="n">
        <f aca="false">Pipe_Tally!L133</f>
        <v>8492.58</v>
      </c>
      <c r="F133" s="24" t="n">
        <f aca="false">Pipe_Tally!M133</f>
        <v>8523.62</v>
      </c>
      <c r="G133" s="24" t="n">
        <f aca="false">MAX(0,MIN(F133,Well_Data!$B$10)-MAX(E133,Well_Data!$B$23))</f>
        <v>31.0400000000009</v>
      </c>
      <c r="H133" s="26" t="n">
        <f aca="false">G133*(Well_Data!$B$26^2-C133^2)/1029.4</f>
        <v>1.42475228288327</v>
      </c>
      <c r="I133" s="24" t="n">
        <f aca="false">MAX(0,MIN(F133,Well_Data!$B$23)-E133)</f>
        <v>0</v>
      </c>
      <c r="J133" s="26" t="n">
        <f aca="false">I133*(Well_Data!$B$25^2-C133^2)/1029.4</f>
        <v>0</v>
      </c>
      <c r="K133" s="25" t="n">
        <f aca="false">D133^2/1029.4</f>
        <v>0.0177619739654167</v>
      </c>
      <c r="L133" s="24" t="n">
        <f aca="false">F133-E133</f>
        <v>31.0400000000009</v>
      </c>
      <c r="M133" s="26" t="n">
        <f aca="false">K133*L133</f>
        <v>0.551331671886551</v>
      </c>
    </row>
    <row r="134" customFormat="false" ht="15" hidden="false" customHeight="true" outlineLevel="0" collapsed="false">
      <c r="A134" s="19" t="n">
        <f aca="false">Pipe_Tally!A134</f>
        <v>133</v>
      </c>
      <c r="B134" s="19" t="str">
        <f aca="false">Pipe_Tally!D134</f>
        <v>5in 19.50 ppf S-135 drill pipe</v>
      </c>
      <c r="C134" s="26" t="n">
        <f aca="false">Pipe_Tally!F134</f>
        <v>5</v>
      </c>
      <c r="D134" s="26" t="n">
        <f aca="false">Pipe_Tally!G134</f>
        <v>4.276</v>
      </c>
      <c r="E134" s="24" t="n">
        <f aca="false">Pipe_Tally!L134</f>
        <v>8461.32</v>
      </c>
      <c r="F134" s="24" t="n">
        <f aca="false">Pipe_Tally!M134</f>
        <v>8492.58</v>
      </c>
      <c r="G134" s="24" t="n">
        <f aca="false">MAX(0,MIN(F134,Well_Data!$B$10)-MAX(E134,Well_Data!$B$23))</f>
        <v>31.2600000000002</v>
      </c>
      <c r="H134" s="26" t="n">
        <f aca="false">G134*(Well_Data!$B$26^2-C134^2)/1029.4</f>
        <v>1.43485039829028</v>
      </c>
      <c r="I134" s="24" t="n">
        <f aca="false">MAX(0,MIN(F134,Well_Data!$B$23)-E134)</f>
        <v>0</v>
      </c>
      <c r="J134" s="26" t="n">
        <f aca="false">I134*(Well_Data!$B$25^2-C134^2)/1029.4</f>
        <v>0</v>
      </c>
      <c r="K134" s="25" t="n">
        <f aca="false">D134^2/1029.4</f>
        <v>0.0177619739654167</v>
      </c>
      <c r="L134" s="24" t="n">
        <f aca="false">F134-E134</f>
        <v>31.2600000000002</v>
      </c>
      <c r="M134" s="26" t="n">
        <f aca="false">K134*L134</f>
        <v>0.555239306158931</v>
      </c>
    </row>
    <row r="135" customFormat="false" ht="15" hidden="false" customHeight="true" outlineLevel="0" collapsed="false">
      <c r="A135" s="19" t="n">
        <f aca="false">Pipe_Tally!A135</f>
        <v>134</v>
      </c>
      <c r="B135" s="19" t="str">
        <f aca="false">Pipe_Tally!D135</f>
        <v>5in 19.50 ppf S-135 drill pipe</v>
      </c>
      <c r="C135" s="26" t="n">
        <f aca="false">Pipe_Tally!F135</f>
        <v>5</v>
      </c>
      <c r="D135" s="26" t="n">
        <f aca="false">Pipe_Tally!G135</f>
        <v>4.276</v>
      </c>
      <c r="E135" s="24" t="n">
        <f aca="false">Pipe_Tally!L135</f>
        <v>8430.03</v>
      </c>
      <c r="F135" s="24" t="n">
        <f aca="false">Pipe_Tally!M135</f>
        <v>8461.32</v>
      </c>
      <c r="G135" s="24" t="n">
        <f aca="false">MAX(0,MIN(F135,Well_Data!$B$10)-MAX(E135,Well_Data!$B$23))</f>
        <v>31.2900000000009</v>
      </c>
      <c r="H135" s="26" t="n">
        <f aca="false">G135*(Well_Data!$B$26^2-C135^2)/1029.4</f>
        <v>1.43622741402763</v>
      </c>
      <c r="I135" s="24" t="n">
        <f aca="false">MAX(0,MIN(F135,Well_Data!$B$23)-E135)</f>
        <v>0</v>
      </c>
      <c r="J135" s="26" t="n">
        <f aca="false">I135*(Well_Data!$B$25^2-C135^2)/1029.4</f>
        <v>0</v>
      </c>
      <c r="K135" s="25" t="n">
        <f aca="false">D135^2/1029.4</f>
        <v>0.0177619739654167</v>
      </c>
      <c r="L135" s="24" t="n">
        <f aca="false">F135-E135</f>
        <v>31.2900000000009</v>
      </c>
      <c r="M135" s="26" t="n">
        <f aca="false">K135*L135</f>
        <v>0.555772165377905</v>
      </c>
    </row>
    <row r="136" customFormat="false" ht="15" hidden="false" customHeight="true" outlineLevel="0" collapsed="false">
      <c r="A136" s="19" t="n">
        <f aca="false">Pipe_Tally!A136</f>
        <v>135</v>
      </c>
      <c r="B136" s="19" t="str">
        <f aca="false">Pipe_Tally!D136</f>
        <v>5in 19.50 ppf S-135 drill pipe</v>
      </c>
      <c r="C136" s="26" t="n">
        <f aca="false">Pipe_Tally!F136</f>
        <v>5</v>
      </c>
      <c r="D136" s="26" t="n">
        <f aca="false">Pipe_Tally!G136</f>
        <v>4.276</v>
      </c>
      <c r="E136" s="24" t="n">
        <f aca="false">Pipe_Tally!L136</f>
        <v>8398.81</v>
      </c>
      <c r="F136" s="24" t="n">
        <f aca="false">Pipe_Tally!M136</f>
        <v>8430.03</v>
      </c>
      <c r="G136" s="24" t="n">
        <f aca="false">MAX(0,MIN(F136,Well_Data!$B$10)-MAX(E136,Well_Data!$B$23))</f>
        <v>31.2199999999993</v>
      </c>
      <c r="H136" s="26" t="n">
        <f aca="false">G136*(Well_Data!$B$26^2-C136^2)/1029.4</f>
        <v>1.43301437730714</v>
      </c>
      <c r="I136" s="24" t="n">
        <f aca="false">MAX(0,MIN(F136,Well_Data!$B$23)-E136)</f>
        <v>0</v>
      </c>
      <c r="J136" s="26" t="n">
        <f aca="false">I136*(Well_Data!$B$25^2-C136^2)/1029.4</f>
        <v>0</v>
      </c>
      <c r="K136" s="25" t="n">
        <f aca="false">D136^2/1029.4</f>
        <v>0.0177619739654167</v>
      </c>
      <c r="L136" s="24" t="n">
        <f aca="false">F136-E136</f>
        <v>31.2199999999993</v>
      </c>
      <c r="M136" s="26" t="n">
        <f aca="false">K136*L136</f>
        <v>0.554528827200299</v>
      </c>
    </row>
    <row r="137" customFormat="false" ht="15" hidden="false" customHeight="true" outlineLevel="0" collapsed="false">
      <c r="A137" s="19" t="n">
        <f aca="false">Pipe_Tally!A137</f>
        <v>136</v>
      </c>
      <c r="B137" s="19" t="str">
        <f aca="false">Pipe_Tally!D137</f>
        <v>5in 19.50 ppf S-135 drill pipe</v>
      </c>
      <c r="C137" s="26" t="n">
        <f aca="false">Pipe_Tally!F137</f>
        <v>5</v>
      </c>
      <c r="D137" s="26" t="n">
        <f aca="false">Pipe_Tally!G137</f>
        <v>4.276</v>
      </c>
      <c r="E137" s="24" t="n">
        <f aca="false">Pipe_Tally!L137</f>
        <v>8368.03</v>
      </c>
      <c r="F137" s="24" t="n">
        <f aca="false">Pipe_Tally!M137</f>
        <v>8398.81</v>
      </c>
      <c r="G137" s="24" t="n">
        <f aca="false">MAX(0,MIN(F137,Well_Data!$B$10)-MAX(E137,Well_Data!$B$23))</f>
        <v>30.7800000000007</v>
      </c>
      <c r="H137" s="26" t="n">
        <f aca="false">G137*(Well_Data!$B$26^2-C137^2)/1029.4</f>
        <v>1.41281814649313</v>
      </c>
      <c r="I137" s="24" t="n">
        <f aca="false">MAX(0,MIN(F137,Well_Data!$B$23)-E137)</f>
        <v>0</v>
      </c>
      <c r="J137" s="26" t="n">
        <f aca="false">I137*(Well_Data!$B$25^2-C137^2)/1029.4</f>
        <v>0</v>
      </c>
      <c r="K137" s="25" t="n">
        <f aca="false">D137^2/1029.4</f>
        <v>0.0177619739654167</v>
      </c>
      <c r="L137" s="24" t="n">
        <f aca="false">F137-E137</f>
        <v>30.7800000000007</v>
      </c>
      <c r="M137" s="26" t="n">
        <f aca="false">K137*L137</f>
        <v>0.546713558655539</v>
      </c>
    </row>
    <row r="138" customFormat="false" ht="15" hidden="false" customHeight="true" outlineLevel="0" collapsed="false">
      <c r="A138" s="19" t="n">
        <f aca="false">Pipe_Tally!A138</f>
        <v>137</v>
      </c>
      <c r="B138" s="19" t="str">
        <f aca="false">Pipe_Tally!D138</f>
        <v>5in 19.50 ppf S-135 drill pipe</v>
      </c>
      <c r="C138" s="26" t="n">
        <f aca="false">Pipe_Tally!F138</f>
        <v>5</v>
      </c>
      <c r="D138" s="26" t="n">
        <f aca="false">Pipe_Tally!G138</f>
        <v>4.276</v>
      </c>
      <c r="E138" s="24" t="n">
        <f aca="false">Pipe_Tally!L138</f>
        <v>8336.56</v>
      </c>
      <c r="F138" s="24" t="n">
        <f aca="false">Pipe_Tally!M138</f>
        <v>8368.03</v>
      </c>
      <c r="G138" s="24" t="n">
        <f aca="false">MAX(0,MIN(F138,Well_Data!$B$10)-MAX(E138,Well_Data!$B$23))</f>
        <v>31.4699999999993</v>
      </c>
      <c r="H138" s="26" t="n">
        <f aca="false">G138*(Well_Data!$B$26^2-C138^2)/1029.4</f>
        <v>1.4444895084515</v>
      </c>
      <c r="I138" s="24" t="n">
        <f aca="false">MAX(0,MIN(F138,Well_Data!$B$23)-E138)</f>
        <v>0</v>
      </c>
      <c r="J138" s="26" t="n">
        <f aca="false">I138*(Well_Data!$B$25^2-C138^2)/1029.4</f>
        <v>0</v>
      </c>
      <c r="K138" s="25" t="n">
        <f aca="false">D138^2/1029.4</f>
        <v>0.0177619739654167</v>
      </c>
      <c r="L138" s="24" t="n">
        <f aca="false">F138-E138</f>
        <v>31.4699999999993</v>
      </c>
      <c r="M138" s="26" t="n">
        <f aca="false">K138*L138</f>
        <v>0.558969320691653</v>
      </c>
    </row>
    <row r="139" customFormat="false" ht="15" hidden="false" customHeight="true" outlineLevel="0" collapsed="false">
      <c r="A139" s="19" t="n">
        <f aca="false">Pipe_Tally!A139</f>
        <v>138</v>
      </c>
      <c r="B139" s="19" t="str">
        <f aca="false">Pipe_Tally!D139</f>
        <v>5in 19.50 ppf S-135 drill pipe</v>
      </c>
      <c r="C139" s="26" t="n">
        <f aca="false">Pipe_Tally!F139</f>
        <v>5</v>
      </c>
      <c r="D139" s="26" t="n">
        <f aca="false">Pipe_Tally!G139</f>
        <v>4.276</v>
      </c>
      <c r="E139" s="24" t="n">
        <f aca="false">Pipe_Tally!L139</f>
        <v>8305.36</v>
      </c>
      <c r="F139" s="24" t="n">
        <f aca="false">Pipe_Tally!M139</f>
        <v>8336.56</v>
      </c>
      <c r="G139" s="24" t="n">
        <f aca="false">MAX(0,MIN(F139,Well_Data!$B$10)-MAX(E139,Well_Data!$B$23))</f>
        <v>31.2000000000007</v>
      </c>
      <c r="H139" s="26" t="n">
        <f aca="false">G139*(Well_Data!$B$26^2-C139^2)/1029.4</f>
        <v>1.43209636681565</v>
      </c>
      <c r="I139" s="24" t="n">
        <f aca="false">MAX(0,MIN(F139,Well_Data!$B$23)-E139)</f>
        <v>0</v>
      </c>
      <c r="J139" s="26" t="n">
        <f aca="false">I139*(Well_Data!$B$25^2-C139^2)/1029.4</f>
        <v>0</v>
      </c>
      <c r="K139" s="25" t="n">
        <f aca="false">D139^2/1029.4</f>
        <v>0.0177619739654167</v>
      </c>
      <c r="L139" s="24" t="n">
        <f aca="false">F139-E139</f>
        <v>31.2000000000007</v>
      </c>
      <c r="M139" s="26" t="n">
        <f aca="false">K139*L139</f>
        <v>0.554173587721015</v>
      </c>
    </row>
    <row r="140" customFormat="false" ht="15" hidden="false" customHeight="true" outlineLevel="0" collapsed="false">
      <c r="A140" s="19" t="n">
        <f aca="false">Pipe_Tally!A140</f>
        <v>139</v>
      </c>
      <c r="B140" s="19" t="str">
        <f aca="false">Pipe_Tally!D140</f>
        <v>5in 19.50 ppf S-135 drill pipe</v>
      </c>
      <c r="C140" s="26" t="n">
        <f aca="false">Pipe_Tally!F140</f>
        <v>5</v>
      </c>
      <c r="D140" s="26" t="n">
        <f aca="false">Pipe_Tally!G140</f>
        <v>4.276</v>
      </c>
      <c r="E140" s="24" t="n">
        <f aca="false">Pipe_Tally!L140</f>
        <v>8274.32</v>
      </c>
      <c r="F140" s="24" t="n">
        <f aca="false">Pipe_Tally!M140</f>
        <v>8305.36</v>
      </c>
      <c r="G140" s="24" t="n">
        <f aca="false">MAX(0,MIN(F140,Well_Data!$B$10)-MAX(E140,Well_Data!$B$23))</f>
        <v>31.0400000000009</v>
      </c>
      <c r="H140" s="26" t="n">
        <f aca="false">G140*(Well_Data!$B$26^2-C140^2)/1029.4</f>
        <v>1.42475228288327</v>
      </c>
      <c r="I140" s="24" t="n">
        <f aca="false">MAX(0,MIN(F140,Well_Data!$B$23)-E140)</f>
        <v>0</v>
      </c>
      <c r="J140" s="26" t="n">
        <f aca="false">I140*(Well_Data!$B$25^2-C140^2)/1029.4</f>
        <v>0</v>
      </c>
      <c r="K140" s="25" t="n">
        <f aca="false">D140^2/1029.4</f>
        <v>0.0177619739654167</v>
      </c>
      <c r="L140" s="24" t="n">
        <f aca="false">F140-E140</f>
        <v>31.0400000000009</v>
      </c>
      <c r="M140" s="26" t="n">
        <f aca="false">K140*L140</f>
        <v>0.551331671886551</v>
      </c>
    </row>
    <row r="141" customFormat="false" ht="15" hidden="false" customHeight="true" outlineLevel="0" collapsed="false">
      <c r="A141" s="19" t="n">
        <f aca="false">Pipe_Tally!A141</f>
        <v>140</v>
      </c>
      <c r="B141" s="19" t="str">
        <f aca="false">Pipe_Tally!D141</f>
        <v>5in 19.50 ppf S-135 drill pipe</v>
      </c>
      <c r="C141" s="26" t="n">
        <f aca="false">Pipe_Tally!F141</f>
        <v>5</v>
      </c>
      <c r="D141" s="26" t="n">
        <f aca="false">Pipe_Tally!G141</f>
        <v>4.276</v>
      </c>
      <c r="E141" s="24" t="n">
        <f aca="false">Pipe_Tally!L141</f>
        <v>8242.76</v>
      </c>
      <c r="F141" s="24" t="n">
        <f aca="false">Pipe_Tally!M141</f>
        <v>8274.32</v>
      </c>
      <c r="G141" s="24" t="n">
        <f aca="false">MAX(0,MIN(F141,Well_Data!$B$10)-MAX(E141,Well_Data!$B$23))</f>
        <v>31.5599999999995</v>
      </c>
      <c r="H141" s="26" t="n">
        <f aca="false">G141*(Well_Data!$B$26^2-C141^2)/1029.4</f>
        <v>1.44862055566347</v>
      </c>
      <c r="I141" s="24" t="n">
        <f aca="false">MAX(0,MIN(F141,Well_Data!$B$23)-E141)</f>
        <v>0</v>
      </c>
      <c r="J141" s="26" t="n">
        <f aca="false">I141*(Well_Data!$B$25^2-C141^2)/1029.4</f>
        <v>0</v>
      </c>
      <c r="K141" s="25" t="n">
        <f aca="false">D141^2/1029.4</f>
        <v>0.0177619739654167</v>
      </c>
      <c r="L141" s="24" t="n">
        <f aca="false">F141-E141</f>
        <v>31.5599999999995</v>
      </c>
      <c r="M141" s="26" t="n">
        <f aca="false">K141*L141</f>
        <v>0.560567898348543</v>
      </c>
    </row>
    <row r="142" customFormat="false" ht="15" hidden="false" customHeight="true" outlineLevel="0" collapsed="false">
      <c r="A142" s="19" t="n">
        <f aca="false">Pipe_Tally!A142</f>
        <v>141</v>
      </c>
      <c r="B142" s="19" t="str">
        <f aca="false">Pipe_Tally!D142</f>
        <v>5in 19.50 ppf S-135 drill pipe</v>
      </c>
      <c r="C142" s="26" t="n">
        <f aca="false">Pipe_Tally!F142</f>
        <v>5</v>
      </c>
      <c r="D142" s="26" t="n">
        <f aca="false">Pipe_Tally!G142</f>
        <v>4.276</v>
      </c>
      <c r="E142" s="24" t="n">
        <f aca="false">Pipe_Tally!L142</f>
        <v>8211.87</v>
      </c>
      <c r="F142" s="24" t="n">
        <f aca="false">Pipe_Tally!M142</f>
        <v>8242.76</v>
      </c>
      <c r="G142" s="24" t="n">
        <f aca="false">MAX(0,MIN(F142,Well_Data!$B$10)-MAX(E142,Well_Data!$B$23))</f>
        <v>30.8899999999994</v>
      </c>
      <c r="H142" s="26" t="n">
        <f aca="false">G142*(Well_Data!$B$26^2-C142^2)/1029.4</f>
        <v>1.41786720419659</v>
      </c>
      <c r="I142" s="24" t="n">
        <f aca="false">MAX(0,MIN(F142,Well_Data!$B$23)-E142)</f>
        <v>0</v>
      </c>
      <c r="J142" s="26" t="n">
        <f aca="false">I142*(Well_Data!$B$25^2-C142^2)/1029.4</f>
        <v>0</v>
      </c>
      <c r="K142" s="25" t="n">
        <f aca="false">D142^2/1029.4</f>
        <v>0.0177619739654167</v>
      </c>
      <c r="L142" s="24" t="n">
        <f aca="false">F142-E142</f>
        <v>30.8899999999994</v>
      </c>
      <c r="M142" s="26" t="n">
        <f aca="false">K142*L142</f>
        <v>0.548667375791713</v>
      </c>
    </row>
    <row r="143" customFormat="false" ht="15" hidden="false" customHeight="true" outlineLevel="0" collapsed="false">
      <c r="A143" s="19" t="n">
        <f aca="false">Pipe_Tally!A143</f>
        <v>142</v>
      </c>
      <c r="B143" s="19" t="str">
        <f aca="false">Pipe_Tally!D143</f>
        <v>5in 19.50 ppf S-135 drill pipe</v>
      </c>
      <c r="C143" s="26" t="n">
        <f aca="false">Pipe_Tally!F143</f>
        <v>5</v>
      </c>
      <c r="D143" s="26" t="n">
        <f aca="false">Pipe_Tally!G143</f>
        <v>4.276</v>
      </c>
      <c r="E143" s="24" t="n">
        <f aca="false">Pipe_Tally!L143</f>
        <v>8180.8</v>
      </c>
      <c r="F143" s="24" t="n">
        <f aca="false">Pipe_Tally!M143</f>
        <v>8211.87</v>
      </c>
      <c r="G143" s="24" t="n">
        <f aca="false">MAX(0,MIN(F143,Well_Data!$B$10)-MAX(E143,Well_Data!$B$23))</f>
        <v>11.8700000000008</v>
      </c>
      <c r="H143" s="26" t="n">
        <f aca="false">G143*(Well_Data!$B$26^2-C143^2)/1029.4</f>
        <v>0.544839226734057</v>
      </c>
      <c r="I143" s="24" t="n">
        <f aca="false">MAX(0,MIN(F143,Well_Data!$B$23)-E143)</f>
        <v>19.1999999999998</v>
      </c>
      <c r="J143" s="26" t="n">
        <f aca="false">I143*(Well_Data!$B$25^2-C143^2)/1029.4</f>
        <v>0.939292219933933</v>
      </c>
      <c r="K143" s="25" t="n">
        <f aca="false">D143^2/1029.4</f>
        <v>0.0177619739654167</v>
      </c>
      <c r="L143" s="24" t="n">
        <f aca="false">F143-E143</f>
        <v>31.0700000000006</v>
      </c>
      <c r="M143" s="26" t="n">
        <f aca="false">K143*L143</f>
        <v>0.551864531105509</v>
      </c>
    </row>
    <row r="144" customFormat="false" ht="15" hidden="false" customHeight="true" outlineLevel="0" collapsed="false">
      <c r="A144" s="19" t="n">
        <f aca="false">Pipe_Tally!A144</f>
        <v>143</v>
      </c>
      <c r="B144" s="19" t="str">
        <f aca="false">Pipe_Tally!D144</f>
        <v>5in 19.50 ppf S-135 drill pipe</v>
      </c>
      <c r="C144" s="26" t="n">
        <f aca="false">Pipe_Tally!F144</f>
        <v>5</v>
      </c>
      <c r="D144" s="26" t="n">
        <f aca="false">Pipe_Tally!G144</f>
        <v>4.276</v>
      </c>
      <c r="E144" s="24" t="n">
        <f aca="false">Pipe_Tally!L144</f>
        <v>8149.51</v>
      </c>
      <c r="F144" s="24" t="n">
        <f aca="false">Pipe_Tally!M144</f>
        <v>8180.8</v>
      </c>
      <c r="G144" s="24" t="n">
        <f aca="false">MAX(0,MIN(F144,Well_Data!$B$10)-MAX(E144,Well_Data!$B$23))</f>
        <v>0</v>
      </c>
      <c r="H144" s="26" t="n">
        <f aca="false">G144*(Well_Data!$B$26^2-C144^2)/1029.4</f>
        <v>0</v>
      </c>
      <c r="I144" s="24" t="n">
        <f aca="false">MAX(0,MIN(F144,Well_Data!$B$23)-E144)</f>
        <v>31.29</v>
      </c>
      <c r="J144" s="26" t="n">
        <f aca="false">I144*(Well_Data!$B$25^2-C144^2)/1029.4</f>
        <v>1.53075278967359</v>
      </c>
      <c r="K144" s="25" t="n">
        <f aca="false">D144^2/1029.4</f>
        <v>0.0177619739654167</v>
      </c>
      <c r="L144" s="24" t="n">
        <f aca="false">F144-E144</f>
        <v>31.29</v>
      </c>
      <c r="M144" s="26" t="n">
        <f aca="false">K144*L144</f>
        <v>0.555772165377889</v>
      </c>
    </row>
    <row r="145" customFormat="false" ht="15" hidden="false" customHeight="true" outlineLevel="0" collapsed="false">
      <c r="A145" s="19" t="n">
        <f aca="false">Pipe_Tally!A145</f>
        <v>144</v>
      </c>
      <c r="B145" s="19" t="str">
        <f aca="false">Pipe_Tally!D145</f>
        <v>5in 19.50 ppf S-135 drill pipe</v>
      </c>
      <c r="C145" s="26" t="n">
        <f aca="false">Pipe_Tally!F145</f>
        <v>5</v>
      </c>
      <c r="D145" s="26" t="n">
        <f aca="false">Pipe_Tally!G145</f>
        <v>4.276</v>
      </c>
      <c r="E145" s="24" t="n">
        <f aca="false">Pipe_Tally!L145</f>
        <v>8118.3</v>
      </c>
      <c r="F145" s="24" t="n">
        <f aca="false">Pipe_Tally!M145</f>
        <v>8149.51</v>
      </c>
      <c r="G145" s="24" t="n">
        <f aca="false">MAX(0,MIN(F145,Well_Data!$B$10)-MAX(E145,Well_Data!$B$23))</f>
        <v>0</v>
      </c>
      <c r="H145" s="26" t="n">
        <f aca="false">G145*(Well_Data!$B$26^2-C145^2)/1029.4</f>
        <v>0</v>
      </c>
      <c r="I145" s="24" t="n">
        <f aca="false">MAX(0,MIN(F145,Well_Data!$B$23)-E145)</f>
        <v>31.21</v>
      </c>
      <c r="J145" s="26" t="n">
        <f aca="false">I145*(Well_Data!$B$25^2-C145^2)/1029.4</f>
        <v>1.52683907209054</v>
      </c>
      <c r="K145" s="25" t="n">
        <f aca="false">D145^2/1029.4</f>
        <v>0.0177619739654167</v>
      </c>
      <c r="L145" s="24" t="n">
        <f aca="false">F145-E145</f>
        <v>31.21</v>
      </c>
      <c r="M145" s="26" t="n">
        <f aca="false">K145*L145</f>
        <v>0.554351207460657</v>
      </c>
    </row>
    <row r="146" customFormat="false" ht="15" hidden="false" customHeight="true" outlineLevel="0" collapsed="false">
      <c r="A146" s="19" t="n">
        <f aca="false">Pipe_Tally!A146</f>
        <v>145</v>
      </c>
      <c r="B146" s="19" t="str">
        <f aca="false">Pipe_Tally!D146</f>
        <v>5in 19.50 ppf S-135 drill pipe</v>
      </c>
      <c r="C146" s="26" t="n">
        <f aca="false">Pipe_Tally!F146</f>
        <v>5</v>
      </c>
      <c r="D146" s="26" t="n">
        <f aca="false">Pipe_Tally!G146</f>
        <v>4.276</v>
      </c>
      <c r="E146" s="24" t="n">
        <f aca="false">Pipe_Tally!L146</f>
        <v>8087.35</v>
      </c>
      <c r="F146" s="24" t="n">
        <f aca="false">Pipe_Tally!M146</f>
        <v>8118.3</v>
      </c>
      <c r="G146" s="24" t="n">
        <f aca="false">MAX(0,MIN(F146,Well_Data!$B$10)-MAX(E146,Well_Data!$B$23))</f>
        <v>0</v>
      </c>
      <c r="H146" s="26" t="n">
        <f aca="false">G146*(Well_Data!$B$26^2-C146^2)/1029.4</f>
        <v>0</v>
      </c>
      <c r="I146" s="24" t="n">
        <f aca="false">MAX(0,MIN(F146,Well_Data!$B$23)-E146)</f>
        <v>30.9499999999998</v>
      </c>
      <c r="J146" s="26" t="n">
        <f aca="false">I146*(Well_Data!$B$25^2-C146^2)/1029.4</f>
        <v>1.51411948994559</v>
      </c>
      <c r="K146" s="25" t="n">
        <f aca="false">D146^2/1029.4</f>
        <v>0.0177619739654167</v>
      </c>
      <c r="L146" s="24" t="n">
        <f aca="false">F146-E146</f>
        <v>30.9499999999998</v>
      </c>
      <c r="M146" s="26" t="n">
        <f aca="false">K146*L146</f>
        <v>0.549733094229645</v>
      </c>
    </row>
    <row r="147" customFormat="false" ht="15" hidden="false" customHeight="true" outlineLevel="0" collapsed="false">
      <c r="A147" s="19" t="n">
        <f aca="false">Pipe_Tally!A147</f>
        <v>146</v>
      </c>
      <c r="B147" s="19" t="str">
        <f aca="false">Pipe_Tally!D147</f>
        <v>5in 19.50 ppf S-135 drill pipe</v>
      </c>
      <c r="C147" s="26" t="n">
        <f aca="false">Pipe_Tally!F147</f>
        <v>5</v>
      </c>
      <c r="D147" s="26" t="n">
        <f aca="false">Pipe_Tally!G147</f>
        <v>4.276</v>
      </c>
      <c r="E147" s="24" t="n">
        <f aca="false">Pipe_Tally!L147</f>
        <v>8055.91</v>
      </c>
      <c r="F147" s="24" t="n">
        <f aca="false">Pipe_Tally!M147</f>
        <v>8087.35</v>
      </c>
      <c r="G147" s="24" t="n">
        <f aca="false">MAX(0,MIN(F147,Well_Data!$B$10)-MAX(E147,Well_Data!$B$23))</f>
        <v>0</v>
      </c>
      <c r="H147" s="26" t="n">
        <f aca="false">G147*(Well_Data!$B$26^2-C147^2)/1029.4</f>
        <v>0</v>
      </c>
      <c r="I147" s="24" t="n">
        <f aca="false">MAX(0,MIN(F147,Well_Data!$B$23)-E147)</f>
        <v>31.4399999999996</v>
      </c>
      <c r="J147" s="26" t="n">
        <f aca="false">I147*(Well_Data!$B$25^2-C147^2)/1029.4</f>
        <v>1.53809101014181</v>
      </c>
      <c r="K147" s="25" t="n">
        <f aca="false">D147^2/1029.4</f>
        <v>0.0177619739654167</v>
      </c>
      <c r="L147" s="24" t="n">
        <f aca="false">F147-E147</f>
        <v>31.4399999999996</v>
      </c>
      <c r="M147" s="26" t="n">
        <f aca="false">K147*L147</f>
        <v>0.558436461472695</v>
      </c>
    </row>
    <row r="148" customFormat="false" ht="15" hidden="false" customHeight="true" outlineLevel="0" collapsed="false">
      <c r="A148" s="19" t="n">
        <f aca="false">Pipe_Tally!A148</f>
        <v>147</v>
      </c>
      <c r="B148" s="19" t="str">
        <f aca="false">Pipe_Tally!D148</f>
        <v>5in 19.50 ppf S-135 drill pipe</v>
      </c>
      <c r="C148" s="26" t="n">
        <f aca="false">Pipe_Tally!F148</f>
        <v>5</v>
      </c>
      <c r="D148" s="26" t="n">
        <f aca="false">Pipe_Tally!G148</f>
        <v>4.276</v>
      </c>
      <c r="E148" s="24" t="n">
        <f aca="false">Pipe_Tally!L148</f>
        <v>8024.75</v>
      </c>
      <c r="F148" s="24" t="n">
        <f aca="false">Pipe_Tally!M148</f>
        <v>8055.91</v>
      </c>
      <c r="G148" s="24" t="n">
        <f aca="false">MAX(0,MIN(F148,Well_Data!$B$10)-MAX(E148,Well_Data!$B$23))</f>
        <v>0</v>
      </c>
      <c r="H148" s="26" t="n">
        <f aca="false">G148*(Well_Data!$B$26^2-C148^2)/1029.4</f>
        <v>0</v>
      </c>
      <c r="I148" s="24" t="n">
        <f aca="false">MAX(0,MIN(F148,Well_Data!$B$23)-E148)</f>
        <v>31.1599999999999</v>
      </c>
      <c r="J148" s="26" t="n">
        <f aca="false">I148*(Well_Data!$B$25^2-C148^2)/1029.4</f>
        <v>1.52439299860112</v>
      </c>
      <c r="K148" s="25" t="n">
        <f aca="false">D148^2/1029.4</f>
        <v>0.0177619739654167</v>
      </c>
      <c r="L148" s="24" t="n">
        <f aca="false">F148-E148</f>
        <v>31.1599999999999</v>
      </c>
      <c r="M148" s="26" t="n">
        <f aca="false">K148*L148</f>
        <v>0.553463108762383</v>
      </c>
    </row>
    <row r="149" customFormat="false" ht="15" hidden="false" customHeight="true" outlineLevel="0" collapsed="false">
      <c r="A149" s="19" t="n">
        <f aca="false">Pipe_Tally!A149</f>
        <v>148</v>
      </c>
      <c r="B149" s="19" t="str">
        <f aca="false">Pipe_Tally!D149</f>
        <v>5in 19.50 ppf S-135 drill pipe</v>
      </c>
      <c r="C149" s="26" t="n">
        <f aca="false">Pipe_Tally!F149</f>
        <v>5</v>
      </c>
      <c r="D149" s="26" t="n">
        <f aca="false">Pipe_Tally!G149</f>
        <v>4.276</v>
      </c>
      <c r="E149" s="24" t="n">
        <f aca="false">Pipe_Tally!L149</f>
        <v>7993.56</v>
      </c>
      <c r="F149" s="24" t="n">
        <f aca="false">Pipe_Tally!M149</f>
        <v>8024.75</v>
      </c>
      <c r="G149" s="24" t="n">
        <f aca="false">MAX(0,MIN(F149,Well_Data!$B$10)-MAX(E149,Well_Data!$B$23))</f>
        <v>0</v>
      </c>
      <c r="H149" s="26" t="n">
        <f aca="false">G149*(Well_Data!$B$26^2-C149^2)/1029.4</f>
        <v>0</v>
      </c>
      <c r="I149" s="24" t="n">
        <f aca="false">MAX(0,MIN(F149,Well_Data!$B$23)-E149)</f>
        <v>31.1899999999996</v>
      </c>
      <c r="J149" s="26" t="n">
        <f aca="false">I149*(Well_Data!$B$25^2-C149^2)/1029.4</f>
        <v>1.52586064269475</v>
      </c>
      <c r="K149" s="25" t="n">
        <f aca="false">D149^2/1029.4</f>
        <v>0.0177619739654167</v>
      </c>
      <c r="L149" s="24" t="n">
        <f aca="false">F149-E149</f>
        <v>31.1899999999996</v>
      </c>
      <c r="M149" s="26" t="n">
        <f aca="false">K149*L149</f>
        <v>0.553995967981341</v>
      </c>
    </row>
    <row r="150" customFormat="false" ht="15" hidden="false" customHeight="true" outlineLevel="0" collapsed="false">
      <c r="A150" s="19" t="n">
        <f aca="false">Pipe_Tally!A150</f>
        <v>149</v>
      </c>
      <c r="B150" s="19" t="str">
        <f aca="false">Pipe_Tally!D150</f>
        <v>5in 19.50 ppf S-135 drill pipe</v>
      </c>
      <c r="C150" s="26" t="n">
        <f aca="false">Pipe_Tally!F150</f>
        <v>5</v>
      </c>
      <c r="D150" s="26" t="n">
        <f aca="false">Pipe_Tally!G150</f>
        <v>4.276</v>
      </c>
      <c r="E150" s="24" t="n">
        <f aca="false">Pipe_Tally!L150</f>
        <v>7962.4</v>
      </c>
      <c r="F150" s="24" t="n">
        <f aca="false">Pipe_Tally!M150</f>
        <v>7993.56</v>
      </c>
      <c r="G150" s="24" t="n">
        <f aca="false">MAX(0,MIN(F150,Well_Data!$B$10)-MAX(E150,Well_Data!$B$23))</f>
        <v>0</v>
      </c>
      <c r="H150" s="26" t="n">
        <f aca="false">G150*(Well_Data!$B$26^2-C150^2)/1029.4</f>
        <v>0</v>
      </c>
      <c r="I150" s="24" t="n">
        <f aca="false">MAX(0,MIN(F150,Well_Data!$B$23)-E150)</f>
        <v>31.1599999999999</v>
      </c>
      <c r="J150" s="26" t="n">
        <f aca="false">I150*(Well_Data!$B$25^2-C150^2)/1029.4</f>
        <v>1.52439299860112</v>
      </c>
      <c r="K150" s="25" t="n">
        <f aca="false">D150^2/1029.4</f>
        <v>0.0177619739654167</v>
      </c>
      <c r="L150" s="24" t="n">
        <f aca="false">F150-E150</f>
        <v>31.1599999999999</v>
      </c>
      <c r="M150" s="26" t="n">
        <f aca="false">K150*L150</f>
        <v>0.553463108762383</v>
      </c>
    </row>
    <row r="151" customFormat="false" ht="15" hidden="false" customHeight="true" outlineLevel="0" collapsed="false">
      <c r="A151" s="19" t="n">
        <f aca="false">Pipe_Tally!A151</f>
        <v>150</v>
      </c>
      <c r="B151" s="19" t="str">
        <f aca="false">Pipe_Tally!D151</f>
        <v>5in 19.50 ppf S-135 drill pipe</v>
      </c>
      <c r="C151" s="26" t="n">
        <f aca="false">Pipe_Tally!F151</f>
        <v>5</v>
      </c>
      <c r="D151" s="26" t="n">
        <f aca="false">Pipe_Tally!G151</f>
        <v>4.276</v>
      </c>
      <c r="E151" s="24" t="n">
        <f aca="false">Pipe_Tally!L151</f>
        <v>7931.04</v>
      </c>
      <c r="F151" s="24" t="n">
        <f aca="false">Pipe_Tally!M151</f>
        <v>7962.4</v>
      </c>
      <c r="G151" s="24" t="n">
        <f aca="false">MAX(0,MIN(F151,Well_Data!$B$10)-MAX(E151,Well_Data!$B$23))</f>
        <v>0</v>
      </c>
      <c r="H151" s="26" t="n">
        <f aca="false">G151*(Well_Data!$B$26^2-C151^2)/1029.4</f>
        <v>0</v>
      </c>
      <c r="I151" s="24" t="n">
        <f aca="false">MAX(0,MIN(F151,Well_Data!$B$23)-E151)</f>
        <v>31.3599999999997</v>
      </c>
      <c r="J151" s="26" t="n">
        <f aca="false">I151*(Well_Data!$B$25^2-C151^2)/1029.4</f>
        <v>1.53417729255876</v>
      </c>
      <c r="K151" s="25" t="n">
        <f aca="false">D151^2/1029.4</f>
        <v>0.0177619739654167</v>
      </c>
      <c r="L151" s="24" t="n">
        <f aca="false">F151-E151</f>
        <v>31.3599999999997</v>
      </c>
      <c r="M151" s="26" t="n">
        <f aca="false">K151*L151</f>
        <v>0.557015503555463</v>
      </c>
    </row>
    <row r="152" customFormat="false" ht="15" hidden="false" customHeight="true" outlineLevel="0" collapsed="false">
      <c r="A152" s="19" t="n">
        <f aca="false">Pipe_Tally!A152</f>
        <v>151</v>
      </c>
      <c r="B152" s="19" t="str">
        <f aca="false">Pipe_Tally!D152</f>
        <v>5in 19.50 ppf S-135 drill pipe</v>
      </c>
      <c r="C152" s="26" t="n">
        <f aca="false">Pipe_Tally!F152</f>
        <v>5</v>
      </c>
      <c r="D152" s="26" t="n">
        <f aca="false">Pipe_Tally!G152</f>
        <v>4.276</v>
      </c>
      <c r="E152" s="24" t="n">
        <f aca="false">Pipe_Tally!L152</f>
        <v>7899.9</v>
      </c>
      <c r="F152" s="24" t="n">
        <f aca="false">Pipe_Tally!M152</f>
        <v>7931.04</v>
      </c>
      <c r="G152" s="24" t="n">
        <f aca="false">MAX(0,MIN(F152,Well_Data!$B$10)-MAX(E152,Well_Data!$B$23))</f>
        <v>0</v>
      </c>
      <c r="H152" s="26" t="n">
        <f aca="false">G152*(Well_Data!$B$26^2-C152^2)/1029.4</f>
        <v>0</v>
      </c>
      <c r="I152" s="24" t="n">
        <f aca="false">MAX(0,MIN(F152,Well_Data!$B$23)-E152)</f>
        <v>31.1400000000003</v>
      </c>
      <c r="J152" s="26" t="n">
        <f aca="false">I152*(Well_Data!$B$25^2-C152^2)/1029.4</f>
        <v>1.52341456920538</v>
      </c>
      <c r="K152" s="25" t="n">
        <f aca="false">D152^2/1029.4</f>
        <v>0.0177619739654167</v>
      </c>
      <c r="L152" s="24" t="n">
        <f aca="false">F152-E152</f>
        <v>31.1400000000003</v>
      </c>
      <c r="M152" s="26" t="n">
        <f aca="false">K152*L152</f>
        <v>0.553107869283083</v>
      </c>
    </row>
    <row r="153" customFormat="false" ht="15" hidden="false" customHeight="true" outlineLevel="0" collapsed="false">
      <c r="A153" s="19" t="n">
        <f aca="false">Pipe_Tally!A153</f>
        <v>152</v>
      </c>
      <c r="B153" s="19" t="str">
        <f aca="false">Pipe_Tally!D153</f>
        <v>5in 19.50 ppf S-135 drill pipe</v>
      </c>
      <c r="C153" s="26" t="n">
        <f aca="false">Pipe_Tally!F153</f>
        <v>5</v>
      </c>
      <c r="D153" s="26" t="n">
        <f aca="false">Pipe_Tally!G153</f>
        <v>4.276</v>
      </c>
      <c r="E153" s="24" t="n">
        <f aca="false">Pipe_Tally!L153</f>
        <v>7869</v>
      </c>
      <c r="F153" s="24" t="n">
        <f aca="false">Pipe_Tally!M153</f>
        <v>7899.9</v>
      </c>
      <c r="G153" s="24" t="n">
        <f aca="false">MAX(0,MIN(F153,Well_Data!$B$10)-MAX(E153,Well_Data!$B$23))</f>
        <v>0</v>
      </c>
      <c r="H153" s="26" t="n">
        <f aca="false">G153*(Well_Data!$B$26^2-C153^2)/1029.4</f>
        <v>0</v>
      </c>
      <c r="I153" s="24" t="n">
        <f aca="false">MAX(0,MIN(F153,Well_Data!$B$23)-E153)</f>
        <v>30.8999999999996</v>
      </c>
      <c r="J153" s="26" t="n">
        <f aca="false">I153*(Well_Data!$B$25^2-C153^2)/1029.4</f>
        <v>1.51167341645617</v>
      </c>
      <c r="K153" s="25" t="n">
        <f aca="false">D153^2/1029.4</f>
        <v>0.0177619739654167</v>
      </c>
      <c r="L153" s="24" t="n">
        <f aca="false">F153-E153</f>
        <v>30.8999999999996</v>
      </c>
      <c r="M153" s="26" t="n">
        <f aca="false">K153*L153</f>
        <v>0.548844995531371</v>
      </c>
    </row>
    <row r="154" customFormat="false" ht="15" hidden="false" customHeight="true" outlineLevel="0" collapsed="false">
      <c r="A154" s="19" t="n">
        <f aca="false">Pipe_Tally!A154</f>
        <v>153</v>
      </c>
      <c r="B154" s="19" t="str">
        <f aca="false">Pipe_Tally!D154</f>
        <v>5in 19.50 ppf S-135 drill pipe</v>
      </c>
      <c r="C154" s="26" t="n">
        <f aca="false">Pipe_Tally!F154</f>
        <v>5</v>
      </c>
      <c r="D154" s="26" t="n">
        <f aca="false">Pipe_Tally!G154</f>
        <v>4.276</v>
      </c>
      <c r="E154" s="24" t="n">
        <f aca="false">Pipe_Tally!L154</f>
        <v>7837.69</v>
      </c>
      <c r="F154" s="24" t="n">
        <f aca="false">Pipe_Tally!M154</f>
        <v>7869</v>
      </c>
      <c r="G154" s="24" t="n">
        <f aca="false">MAX(0,MIN(F154,Well_Data!$B$10)-MAX(E154,Well_Data!$B$23))</f>
        <v>0</v>
      </c>
      <c r="H154" s="26" t="n">
        <f aca="false">G154*(Well_Data!$B$26^2-C154^2)/1029.4</f>
        <v>0</v>
      </c>
      <c r="I154" s="24" t="n">
        <f aca="false">MAX(0,MIN(F154,Well_Data!$B$23)-E154)</f>
        <v>31.3100000000004</v>
      </c>
      <c r="J154" s="26" t="n">
        <f aca="false">I154*(Well_Data!$B$25^2-C154^2)/1029.4</f>
        <v>1.53173121906938</v>
      </c>
      <c r="K154" s="25" t="n">
        <f aca="false">D154^2/1029.4</f>
        <v>0.0177619739654167</v>
      </c>
      <c r="L154" s="24" t="n">
        <f aca="false">F154-E154</f>
        <v>31.3100000000004</v>
      </c>
      <c r="M154" s="26" t="n">
        <f aca="false">K154*L154</f>
        <v>0.556127404857205</v>
      </c>
    </row>
    <row r="155" customFormat="false" ht="15" hidden="false" customHeight="true" outlineLevel="0" collapsed="false">
      <c r="A155" s="19" t="n">
        <f aca="false">Pipe_Tally!A155</f>
        <v>154</v>
      </c>
      <c r="B155" s="19" t="str">
        <f aca="false">Pipe_Tally!D155</f>
        <v>5in 19.50 ppf S-135 drill pipe</v>
      </c>
      <c r="C155" s="26" t="n">
        <f aca="false">Pipe_Tally!F155</f>
        <v>5</v>
      </c>
      <c r="D155" s="26" t="n">
        <f aca="false">Pipe_Tally!G155</f>
        <v>4.276</v>
      </c>
      <c r="E155" s="24" t="n">
        <f aca="false">Pipe_Tally!L155</f>
        <v>7806.4</v>
      </c>
      <c r="F155" s="24" t="n">
        <f aca="false">Pipe_Tally!M155</f>
        <v>7837.69</v>
      </c>
      <c r="G155" s="24" t="n">
        <f aca="false">MAX(0,MIN(F155,Well_Data!$B$10)-MAX(E155,Well_Data!$B$23))</f>
        <v>0</v>
      </c>
      <c r="H155" s="26" t="n">
        <f aca="false">G155*(Well_Data!$B$26^2-C155^2)/1029.4</f>
        <v>0</v>
      </c>
      <c r="I155" s="24" t="n">
        <f aca="false">MAX(0,MIN(F155,Well_Data!$B$23)-E155)</f>
        <v>31.29</v>
      </c>
      <c r="J155" s="26" t="n">
        <f aca="false">I155*(Well_Data!$B$25^2-C155^2)/1029.4</f>
        <v>1.53075278967359</v>
      </c>
      <c r="K155" s="25" t="n">
        <f aca="false">D155^2/1029.4</f>
        <v>0.0177619739654167</v>
      </c>
      <c r="L155" s="24" t="n">
        <f aca="false">F155-E155</f>
        <v>31.29</v>
      </c>
      <c r="M155" s="26" t="n">
        <f aca="false">K155*L155</f>
        <v>0.555772165377889</v>
      </c>
    </row>
    <row r="156" customFormat="false" ht="15" hidden="false" customHeight="true" outlineLevel="0" collapsed="false">
      <c r="A156" s="19" t="n">
        <f aca="false">Pipe_Tally!A156</f>
        <v>155</v>
      </c>
      <c r="B156" s="19" t="str">
        <f aca="false">Pipe_Tally!D156</f>
        <v>5in 19.50 ppf S-135 drill pipe</v>
      </c>
      <c r="C156" s="26" t="n">
        <f aca="false">Pipe_Tally!F156</f>
        <v>5</v>
      </c>
      <c r="D156" s="26" t="n">
        <f aca="false">Pipe_Tally!G156</f>
        <v>4.276</v>
      </c>
      <c r="E156" s="24" t="n">
        <f aca="false">Pipe_Tally!L156</f>
        <v>7774.92</v>
      </c>
      <c r="F156" s="24" t="n">
        <f aca="false">Pipe_Tally!M156</f>
        <v>7806.4</v>
      </c>
      <c r="G156" s="24" t="n">
        <f aca="false">MAX(0,MIN(F156,Well_Data!$B$10)-MAX(E156,Well_Data!$B$23))</f>
        <v>0</v>
      </c>
      <c r="H156" s="26" t="n">
        <f aca="false">G156*(Well_Data!$B$26^2-C156^2)/1029.4</f>
        <v>0</v>
      </c>
      <c r="I156" s="24" t="n">
        <f aca="false">MAX(0,MIN(F156,Well_Data!$B$23)-E156)</f>
        <v>31.4799999999996</v>
      </c>
      <c r="J156" s="26" t="n">
        <f aca="false">I156*(Well_Data!$B$25^2-C156^2)/1029.4</f>
        <v>1.54004786893334</v>
      </c>
      <c r="K156" s="25" t="n">
        <f aca="false">D156^2/1029.4</f>
        <v>0.0177619739654167</v>
      </c>
      <c r="L156" s="24" t="n">
        <f aca="false">F156-E156</f>
        <v>31.4799999999996</v>
      </c>
      <c r="M156" s="26" t="n">
        <f aca="false">K156*L156</f>
        <v>0.559146940431311</v>
      </c>
    </row>
    <row r="157" customFormat="false" ht="15" hidden="false" customHeight="true" outlineLevel="0" collapsed="false">
      <c r="A157" s="19" t="n">
        <f aca="false">Pipe_Tally!A157</f>
        <v>156</v>
      </c>
      <c r="B157" s="19" t="str">
        <f aca="false">Pipe_Tally!D157</f>
        <v>5in 19.50 ppf S-135 drill pipe</v>
      </c>
      <c r="C157" s="26" t="n">
        <f aca="false">Pipe_Tally!F157</f>
        <v>5</v>
      </c>
      <c r="D157" s="26" t="n">
        <f aca="false">Pipe_Tally!G157</f>
        <v>4.276</v>
      </c>
      <c r="E157" s="24" t="n">
        <f aca="false">Pipe_Tally!L157</f>
        <v>7743.62</v>
      </c>
      <c r="F157" s="24" t="n">
        <f aca="false">Pipe_Tally!M157</f>
        <v>7774.92</v>
      </c>
      <c r="G157" s="24" t="n">
        <f aca="false">MAX(0,MIN(F157,Well_Data!$B$10)-MAX(E157,Well_Data!$B$23))</f>
        <v>0</v>
      </c>
      <c r="H157" s="26" t="n">
        <f aca="false">G157*(Well_Data!$B$26^2-C157^2)/1029.4</f>
        <v>0</v>
      </c>
      <c r="I157" s="24" t="n">
        <f aca="false">MAX(0,MIN(F157,Well_Data!$B$23)-E157)</f>
        <v>31.3000000000002</v>
      </c>
      <c r="J157" s="26" t="n">
        <f aca="false">I157*(Well_Data!$B$25^2-C157^2)/1029.4</f>
        <v>1.53124200437149</v>
      </c>
      <c r="K157" s="25" t="n">
        <f aca="false">D157^2/1029.4</f>
        <v>0.0177619739654167</v>
      </c>
      <c r="L157" s="24" t="n">
        <f aca="false">F157-E157</f>
        <v>31.3000000000002</v>
      </c>
      <c r="M157" s="26" t="n">
        <f aca="false">K157*L157</f>
        <v>0.555949785117547</v>
      </c>
    </row>
    <row r="158" customFormat="false" ht="15" hidden="false" customHeight="true" outlineLevel="0" collapsed="false">
      <c r="A158" s="19" t="n">
        <f aca="false">Pipe_Tally!A158</f>
        <v>157</v>
      </c>
      <c r="B158" s="19" t="str">
        <f aca="false">Pipe_Tally!D158</f>
        <v>5in 19.50 ppf S-135 drill pipe</v>
      </c>
      <c r="C158" s="26" t="n">
        <f aca="false">Pipe_Tally!F158</f>
        <v>5</v>
      </c>
      <c r="D158" s="26" t="n">
        <f aca="false">Pipe_Tally!G158</f>
        <v>4.276</v>
      </c>
      <c r="E158" s="24" t="n">
        <f aca="false">Pipe_Tally!L158</f>
        <v>7712.47</v>
      </c>
      <c r="F158" s="24" t="n">
        <f aca="false">Pipe_Tally!M158</f>
        <v>7743.62</v>
      </c>
      <c r="G158" s="24" t="n">
        <f aca="false">MAX(0,MIN(F158,Well_Data!$B$10)-MAX(E158,Well_Data!$B$23))</f>
        <v>0</v>
      </c>
      <c r="H158" s="26" t="n">
        <f aca="false">G158*(Well_Data!$B$26^2-C158^2)/1029.4</f>
        <v>0</v>
      </c>
      <c r="I158" s="24" t="n">
        <f aca="false">MAX(0,MIN(F158,Well_Data!$B$23)-E158)</f>
        <v>31.1499999999996</v>
      </c>
      <c r="J158" s="26" t="n">
        <f aca="false">I158*(Well_Data!$B$25^2-C158^2)/1029.4</f>
        <v>1.52390378390323</v>
      </c>
      <c r="K158" s="25" t="n">
        <f aca="false">D158^2/1029.4</f>
        <v>0.0177619739654167</v>
      </c>
      <c r="L158" s="24" t="n">
        <f aca="false">F158-E158</f>
        <v>31.1499999999996</v>
      </c>
      <c r="M158" s="26" t="n">
        <f aca="false">K158*L158</f>
        <v>0.553285489022725</v>
      </c>
    </row>
    <row r="159" customFormat="false" ht="15" hidden="false" customHeight="true" outlineLevel="0" collapsed="false">
      <c r="A159" s="19" t="n">
        <f aca="false">Pipe_Tally!A159</f>
        <v>158</v>
      </c>
      <c r="B159" s="19" t="str">
        <f aca="false">Pipe_Tally!D159</f>
        <v>5in 19.50 ppf S-135 drill pipe</v>
      </c>
      <c r="C159" s="26" t="n">
        <f aca="false">Pipe_Tally!F159</f>
        <v>5</v>
      </c>
      <c r="D159" s="26" t="n">
        <f aca="false">Pipe_Tally!G159</f>
        <v>4.276</v>
      </c>
      <c r="E159" s="24" t="n">
        <f aca="false">Pipe_Tally!L159</f>
        <v>7681.07</v>
      </c>
      <c r="F159" s="24" t="n">
        <f aca="false">Pipe_Tally!M159</f>
        <v>7712.47</v>
      </c>
      <c r="G159" s="24" t="n">
        <f aca="false">MAX(0,MIN(F159,Well_Data!$B$10)-MAX(E159,Well_Data!$B$23))</f>
        <v>0</v>
      </c>
      <c r="H159" s="26" t="n">
        <f aca="false">G159*(Well_Data!$B$26^2-C159^2)/1029.4</f>
        <v>0</v>
      </c>
      <c r="I159" s="24" t="n">
        <f aca="false">MAX(0,MIN(F159,Well_Data!$B$23)-E159)</f>
        <v>31.3999999999996</v>
      </c>
      <c r="J159" s="26" t="n">
        <f aca="false">I159*(Well_Data!$B$25^2-C159^2)/1029.4</f>
        <v>1.53613415135028</v>
      </c>
      <c r="K159" s="25" t="n">
        <f aca="false">D159^2/1029.4</f>
        <v>0.0177619739654167</v>
      </c>
      <c r="L159" s="24" t="n">
        <f aca="false">F159-E159</f>
        <v>31.3999999999996</v>
      </c>
      <c r="M159" s="26" t="n">
        <f aca="false">K159*L159</f>
        <v>0.557725982514079</v>
      </c>
    </row>
    <row r="160" customFormat="false" ht="15" hidden="false" customHeight="true" outlineLevel="0" collapsed="false">
      <c r="A160" s="19" t="n">
        <f aca="false">Pipe_Tally!A160</f>
        <v>159</v>
      </c>
      <c r="B160" s="19" t="str">
        <f aca="false">Pipe_Tally!D160</f>
        <v>5in 19.50 ppf S-135 drill pipe</v>
      </c>
      <c r="C160" s="26" t="n">
        <f aca="false">Pipe_Tally!F160</f>
        <v>5</v>
      </c>
      <c r="D160" s="26" t="n">
        <f aca="false">Pipe_Tally!G160</f>
        <v>4.276</v>
      </c>
      <c r="E160" s="24" t="n">
        <f aca="false">Pipe_Tally!L160</f>
        <v>7649.9</v>
      </c>
      <c r="F160" s="24" t="n">
        <f aca="false">Pipe_Tally!M160</f>
        <v>7681.07</v>
      </c>
      <c r="G160" s="24" t="n">
        <f aca="false">MAX(0,MIN(F160,Well_Data!$B$10)-MAX(E160,Well_Data!$B$23))</f>
        <v>0</v>
      </c>
      <c r="H160" s="26" t="n">
        <f aca="false">G160*(Well_Data!$B$26^2-C160^2)/1029.4</f>
        <v>0</v>
      </c>
      <c r="I160" s="24" t="n">
        <f aca="false">MAX(0,MIN(F160,Well_Data!$B$23)-E160)</f>
        <v>31.1700000000001</v>
      </c>
      <c r="J160" s="26" t="n">
        <f aca="false">I160*(Well_Data!$B$25^2-C160^2)/1029.4</f>
        <v>1.52488221329901</v>
      </c>
      <c r="K160" s="25" t="n">
        <f aca="false">D160^2/1029.4</f>
        <v>0.0177619739654167</v>
      </c>
      <c r="L160" s="24" t="n">
        <f aca="false">F160-E160</f>
        <v>31.1700000000001</v>
      </c>
      <c r="M160" s="26" t="n">
        <f aca="false">K160*L160</f>
        <v>0.553640728502041</v>
      </c>
    </row>
    <row r="161" customFormat="false" ht="15" hidden="false" customHeight="true" outlineLevel="0" collapsed="false">
      <c r="A161" s="19" t="n">
        <f aca="false">Pipe_Tally!A161</f>
        <v>160</v>
      </c>
      <c r="B161" s="19" t="str">
        <f aca="false">Pipe_Tally!D161</f>
        <v>5in 19.50 ppf S-135 drill pipe</v>
      </c>
      <c r="C161" s="26" t="n">
        <f aca="false">Pipe_Tally!F161</f>
        <v>5</v>
      </c>
      <c r="D161" s="26" t="n">
        <f aca="false">Pipe_Tally!G161</f>
        <v>4.276</v>
      </c>
      <c r="E161" s="24" t="n">
        <f aca="false">Pipe_Tally!L161</f>
        <v>7618.91</v>
      </c>
      <c r="F161" s="24" t="n">
        <f aca="false">Pipe_Tally!M161</f>
        <v>7649.9</v>
      </c>
      <c r="G161" s="24" t="n">
        <f aca="false">MAX(0,MIN(F161,Well_Data!$B$10)-MAX(E161,Well_Data!$B$23))</f>
        <v>0</v>
      </c>
      <c r="H161" s="26" t="n">
        <f aca="false">G161*(Well_Data!$B$26^2-C161^2)/1029.4</f>
        <v>0</v>
      </c>
      <c r="I161" s="24" t="n">
        <f aca="false">MAX(0,MIN(F161,Well_Data!$B$23)-E161)</f>
        <v>30.9899999999998</v>
      </c>
      <c r="J161" s="26" t="n">
        <f aca="false">I161*(Well_Data!$B$25^2-C161^2)/1029.4</f>
        <v>1.51607634873712</v>
      </c>
      <c r="K161" s="25" t="n">
        <f aca="false">D161^2/1029.4</f>
        <v>0.0177619739654167</v>
      </c>
      <c r="L161" s="24" t="n">
        <f aca="false">F161-E161</f>
        <v>30.9899999999998</v>
      </c>
      <c r="M161" s="26" t="n">
        <f aca="false">K161*L161</f>
        <v>0.550443573188261</v>
      </c>
    </row>
    <row r="162" customFormat="false" ht="15" hidden="false" customHeight="true" outlineLevel="0" collapsed="false">
      <c r="A162" s="19" t="n">
        <f aca="false">Pipe_Tally!A162</f>
        <v>161</v>
      </c>
      <c r="B162" s="19" t="str">
        <f aca="false">Pipe_Tally!D162</f>
        <v>5in 19.50 ppf S-135 drill pipe</v>
      </c>
      <c r="C162" s="26" t="n">
        <f aca="false">Pipe_Tally!F162</f>
        <v>5</v>
      </c>
      <c r="D162" s="26" t="n">
        <f aca="false">Pipe_Tally!G162</f>
        <v>4.276</v>
      </c>
      <c r="E162" s="24" t="n">
        <f aca="false">Pipe_Tally!L162</f>
        <v>7587.71</v>
      </c>
      <c r="F162" s="24" t="n">
        <f aca="false">Pipe_Tally!M162</f>
        <v>7618.91</v>
      </c>
      <c r="G162" s="24" t="n">
        <f aca="false">MAX(0,MIN(F162,Well_Data!$B$10)-MAX(E162,Well_Data!$B$23))</f>
        <v>0</v>
      </c>
      <c r="H162" s="26" t="n">
        <f aca="false">G162*(Well_Data!$B$26^2-C162^2)/1029.4</f>
        <v>0</v>
      </c>
      <c r="I162" s="24" t="n">
        <f aca="false">MAX(0,MIN(F162,Well_Data!$B$23)-E162)</f>
        <v>31.1999999999998</v>
      </c>
      <c r="J162" s="26" t="n">
        <f aca="false">I162*(Well_Data!$B$25^2-C162^2)/1029.4</f>
        <v>1.52634985739265</v>
      </c>
      <c r="K162" s="25" t="n">
        <f aca="false">D162^2/1029.4</f>
        <v>0.0177619739654167</v>
      </c>
      <c r="L162" s="24" t="n">
        <f aca="false">F162-E162</f>
        <v>31.1999999999998</v>
      </c>
      <c r="M162" s="26" t="n">
        <f aca="false">K162*L162</f>
        <v>0.554173587720999</v>
      </c>
    </row>
    <row r="163" customFormat="false" ht="15" hidden="false" customHeight="true" outlineLevel="0" collapsed="false">
      <c r="A163" s="19" t="n">
        <f aca="false">Pipe_Tally!A163</f>
        <v>162</v>
      </c>
      <c r="B163" s="19" t="str">
        <f aca="false">Pipe_Tally!D163</f>
        <v>5in 19.50 ppf S-135 drill pipe</v>
      </c>
      <c r="C163" s="26" t="n">
        <f aca="false">Pipe_Tally!F163</f>
        <v>5</v>
      </c>
      <c r="D163" s="26" t="n">
        <f aca="false">Pipe_Tally!G163</f>
        <v>4.276</v>
      </c>
      <c r="E163" s="24" t="n">
        <f aca="false">Pipe_Tally!L163</f>
        <v>7556.35</v>
      </c>
      <c r="F163" s="24" t="n">
        <f aca="false">Pipe_Tally!M163</f>
        <v>7587.71</v>
      </c>
      <c r="G163" s="24" t="n">
        <f aca="false">MAX(0,MIN(F163,Well_Data!$B$10)-MAX(E163,Well_Data!$B$23))</f>
        <v>0</v>
      </c>
      <c r="H163" s="26" t="n">
        <f aca="false">G163*(Well_Data!$B$26^2-C163^2)/1029.4</f>
        <v>0</v>
      </c>
      <c r="I163" s="24" t="n">
        <f aca="false">MAX(0,MIN(F163,Well_Data!$B$23)-E163)</f>
        <v>31.3599999999997</v>
      </c>
      <c r="J163" s="26" t="n">
        <f aca="false">I163*(Well_Data!$B$25^2-C163^2)/1029.4</f>
        <v>1.53417729255876</v>
      </c>
      <c r="K163" s="25" t="n">
        <f aca="false">D163^2/1029.4</f>
        <v>0.0177619739654167</v>
      </c>
      <c r="L163" s="24" t="n">
        <f aca="false">F163-E163</f>
        <v>31.3599999999997</v>
      </c>
      <c r="M163" s="26" t="n">
        <f aca="false">K163*L163</f>
        <v>0.557015503555463</v>
      </c>
    </row>
    <row r="164" customFormat="false" ht="15" hidden="false" customHeight="true" outlineLevel="0" collapsed="false">
      <c r="A164" s="19" t="n">
        <f aca="false">Pipe_Tally!A164</f>
        <v>163</v>
      </c>
      <c r="B164" s="19" t="str">
        <f aca="false">Pipe_Tally!D164</f>
        <v>5in 19.50 ppf S-135 drill pipe</v>
      </c>
      <c r="C164" s="26" t="n">
        <f aca="false">Pipe_Tally!F164</f>
        <v>5</v>
      </c>
      <c r="D164" s="26" t="n">
        <f aca="false">Pipe_Tally!G164</f>
        <v>4.276</v>
      </c>
      <c r="E164" s="24" t="n">
        <f aca="false">Pipe_Tally!L164</f>
        <v>7524.83</v>
      </c>
      <c r="F164" s="24" t="n">
        <f aca="false">Pipe_Tally!M164</f>
        <v>7556.35</v>
      </c>
      <c r="G164" s="24" t="n">
        <f aca="false">MAX(0,MIN(F164,Well_Data!$B$10)-MAX(E164,Well_Data!$B$23))</f>
        <v>0</v>
      </c>
      <c r="H164" s="26" t="n">
        <f aca="false">G164*(Well_Data!$B$26^2-C164^2)/1029.4</f>
        <v>0</v>
      </c>
      <c r="I164" s="24" t="n">
        <f aca="false">MAX(0,MIN(F164,Well_Data!$B$23)-E164)</f>
        <v>31.5200000000004</v>
      </c>
      <c r="J164" s="26" t="n">
        <f aca="false">I164*(Well_Data!$B$25^2-C164^2)/1029.4</f>
        <v>1.54200472772491</v>
      </c>
      <c r="K164" s="25" t="n">
        <f aca="false">D164^2/1029.4</f>
        <v>0.0177619739654167</v>
      </c>
      <c r="L164" s="24" t="n">
        <f aca="false">F164-E164</f>
        <v>31.5200000000004</v>
      </c>
      <c r="M164" s="26" t="n">
        <f aca="false">K164*L164</f>
        <v>0.559857419389944</v>
      </c>
    </row>
    <row r="165" customFormat="false" ht="15" hidden="false" customHeight="true" outlineLevel="0" collapsed="false">
      <c r="A165" s="19" t="n">
        <f aca="false">Pipe_Tally!A165</f>
        <v>164</v>
      </c>
      <c r="B165" s="19" t="str">
        <f aca="false">Pipe_Tally!D165</f>
        <v>5in 19.50 ppf S-135 drill pipe</v>
      </c>
      <c r="C165" s="26" t="n">
        <f aca="false">Pipe_Tally!F165</f>
        <v>5</v>
      </c>
      <c r="D165" s="26" t="n">
        <f aca="false">Pipe_Tally!G165</f>
        <v>4.276</v>
      </c>
      <c r="E165" s="24" t="n">
        <f aca="false">Pipe_Tally!L165</f>
        <v>7493.65</v>
      </c>
      <c r="F165" s="24" t="n">
        <f aca="false">Pipe_Tally!M165</f>
        <v>7524.83</v>
      </c>
      <c r="G165" s="24" t="n">
        <f aca="false">MAX(0,MIN(F165,Well_Data!$B$10)-MAX(E165,Well_Data!$B$23))</f>
        <v>0</v>
      </c>
      <c r="H165" s="26" t="n">
        <f aca="false">G165*(Well_Data!$B$26^2-C165^2)/1029.4</f>
        <v>0</v>
      </c>
      <c r="I165" s="24" t="n">
        <f aca="false">MAX(0,MIN(F165,Well_Data!$B$23)-E165)</f>
        <v>31.1800000000003</v>
      </c>
      <c r="J165" s="26" t="n">
        <f aca="false">I165*(Well_Data!$B$25^2-C165^2)/1029.4</f>
        <v>1.52537142799691</v>
      </c>
      <c r="K165" s="25" t="n">
        <f aca="false">D165^2/1029.4</f>
        <v>0.0177619739654167</v>
      </c>
      <c r="L165" s="24" t="n">
        <f aca="false">F165-E165</f>
        <v>31.1800000000003</v>
      </c>
      <c r="M165" s="26" t="n">
        <f aca="false">K165*L165</f>
        <v>0.553818348241699</v>
      </c>
    </row>
    <row r="166" customFormat="false" ht="15" hidden="false" customHeight="true" outlineLevel="0" collapsed="false">
      <c r="A166" s="19" t="n">
        <f aca="false">Pipe_Tally!A166</f>
        <v>165</v>
      </c>
      <c r="B166" s="19" t="str">
        <f aca="false">Pipe_Tally!D166</f>
        <v>5in 19.50 ppf S-135 drill pipe</v>
      </c>
      <c r="C166" s="26" t="n">
        <f aca="false">Pipe_Tally!F166</f>
        <v>5</v>
      </c>
      <c r="D166" s="26" t="n">
        <f aca="false">Pipe_Tally!G166</f>
        <v>4.276</v>
      </c>
      <c r="E166" s="24" t="n">
        <f aca="false">Pipe_Tally!L166</f>
        <v>7462.63</v>
      </c>
      <c r="F166" s="24" t="n">
        <f aca="false">Pipe_Tally!M166</f>
        <v>7493.65</v>
      </c>
      <c r="G166" s="24" t="n">
        <f aca="false">MAX(0,MIN(F166,Well_Data!$B$10)-MAX(E166,Well_Data!$B$23))</f>
        <v>0</v>
      </c>
      <c r="H166" s="26" t="n">
        <f aca="false">G166*(Well_Data!$B$26^2-C166^2)/1029.4</f>
        <v>0</v>
      </c>
      <c r="I166" s="24" t="n">
        <f aca="false">MAX(0,MIN(F166,Well_Data!$B$23)-E166)</f>
        <v>31.0200000000004</v>
      </c>
      <c r="J166" s="26" t="n">
        <f aca="false">I166*(Well_Data!$B$25^2-C166^2)/1029.4</f>
        <v>1.5175439928308</v>
      </c>
      <c r="K166" s="25" t="n">
        <f aca="false">D166^2/1029.4</f>
        <v>0.0177619739654167</v>
      </c>
      <c r="L166" s="24" t="n">
        <f aca="false">F166-E166</f>
        <v>31.0200000000004</v>
      </c>
      <c r="M166" s="26" t="n">
        <f aca="false">K166*L166</f>
        <v>0.550976432407235</v>
      </c>
    </row>
    <row r="167" customFormat="false" ht="15" hidden="false" customHeight="true" outlineLevel="0" collapsed="false">
      <c r="A167" s="19" t="n">
        <f aca="false">Pipe_Tally!A167</f>
        <v>166</v>
      </c>
      <c r="B167" s="19" t="str">
        <f aca="false">Pipe_Tally!D167</f>
        <v>5in 19.50 ppf S-135 drill pipe</v>
      </c>
      <c r="C167" s="26" t="n">
        <f aca="false">Pipe_Tally!F167</f>
        <v>5</v>
      </c>
      <c r="D167" s="26" t="n">
        <f aca="false">Pipe_Tally!G167</f>
        <v>4.276</v>
      </c>
      <c r="E167" s="24" t="n">
        <f aca="false">Pipe_Tally!L167</f>
        <v>7431.15</v>
      </c>
      <c r="F167" s="24" t="n">
        <f aca="false">Pipe_Tally!M167</f>
        <v>7462.63</v>
      </c>
      <c r="G167" s="24" t="n">
        <f aca="false">MAX(0,MIN(F167,Well_Data!$B$10)-MAX(E167,Well_Data!$B$23))</f>
        <v>0</v>
      </c>
      <c r="H167" s="26" t="n">
        <f aca="false">G167*(Well_Data!$B$26^2-C167^2)/1029.4</f>
        <v>0</v>
      </c>
      <c r="I167" s="24" t="n">
        <f aca="false">MAX(0,MIN(F167,Well_Data!$B$23)-E167)</f>
        <v>31.4799999999996</v>
      </c>
      <c r="J167" s="26" t="n">
        <f aca="false">I167*(Well_Data!$B$25^2-C167^2)/1029.4</f>
        <v>1.54004786893334</v>
      </c>
      <c r="K167" s="25" t="n">
        <f aca="false">D167^2/1029.4</f>
        <v>0.0177619739654167</v>
      </c>
      <c r="L167" s="24" t="n">
        <f aca="false">F167-E167</f>
        <v>31.4799999999996</v>
      </c>
      <c r="M167" s="26" t="n">
        <f aca="false">K167*L167</f>
        <v>0.559146940431311</v>
      </c>
    </row>
    <row r="168" customFormat="false" ht="15" hidden="false" customHeight="true" outlineLevel="0" collapsed="false">
      <c r="A168" s="19" t="n">
        <f aca="false">Pipe_Tally!A168</f>
        <v>167</v>
      </c>
      <c r="B168" s="19" t="str">
        <f aca="false">Pipe_Tally!D168</f>
        <v>5in 19.50 ppf S-135 drill pipe</v>
      </c>
      <c r="C168" s="26" t="n">
        <f aca="false">Pipe_Tally!F168</f>
        <v>5</v>
      </c>
      <c r="D168" s="26" t="n">
        <f aca="false">Pipe_Tally!G168</f>
        <v>4.276</v>
      </c>
      <c r="E168" s="24" t="n">
        <f aca="false">Pipe_Tally!L168</f>
        <v>7400.05</v>
      </c>
      <c r="F168" s="24" t="n">
        <f aca="false">Pipe_Tally!M168</f>
        <v>7431.15</v>
      </c>
      <c r="G168" s="24" t="n">
        <f aca="false">MAX(0,MIN(F168,Well_Data!$B$10)-MAX(E168,Well_Data!$B$23))</f>
        <v>0</v>
      </c>
      <c r="H168" s="26" t="n">
        <f aca="false">G168*(Well_Data!$B$26^2-C168^2)/1029.4</f>
        <v>0</v>
      </c>
      <c r="I168" s="24" t="n">
        <f aca="false">MAX(0,MIN(F168,Well_Data!$B$23)-E168)</f>
        <v>31.1000000000004</v>
      </c>
      <c r="J168" s="26" t="n">
        <f aca="false">I168*(Well_Data!$B$25^2-C168^2)/1029.4</f>
        <v>1.52145771041385</v>
      </c>
      <c r="K168" s="25" t="n">
        <f aca="false">D168^2/1029.4</f>
        <v>0.0177619739654167</v>
      </c>
      <c r="L168" s="24" t="n">
        <f aca="false">F168-E168</f>
        <v>31.1000000000004</v>
      </c>
      <c r="M168" s="26" t="n">
        <f aca="false">K168*L168</f>
        <v>0.552397390324467</v>
      </c>
    </row>
    <row r="169" customFormat="false" ht="15" hidden="false" customHeight="true" outlineLevel="0" collapsed="false">
      <c r="A169" s="19" t="n">
        <f aca="false">Pipe_Tally!A169</f>
        <v>168</v>
      </c>
      <c r="B169" s="19" t="str">
        <f aca="false">Pipe_Tally!D169</f>
        <v>5in 19.50 ppf S-135 drill pipe</v>
      </c>
      <c r="C169" s="26" t="n">
        <f aca="false">Pipe_Tally!F169</f>
        <v>5</v>
      </c>
      <c r="D169" s="26" t="n">
        <f aca="false">Pipe_Tally!G169</f>
        <v>4.276</v>
      </c>
      <c r="E169" s="24" t="n">
        <f aca="false">Pipe_Tally!L169</f>
        <v>7368.67</v>
      </c>
      <c r="F169" s="24" t="n">
        <f aca="false">Pipe_Tally!M169</f>
        <v>7400.05</v>
      </c>
      <c r="G169" s="24" t="n">
        <f aca="false">MAX(0,MIN(F169,Well_Data!$B$10)-MAX(E169,Well_Data!$B$23))</f>
        <v>0</v>
      </c>
      <c r="H169" s="26" t="n">
        <f aca="false">G169*(Well_Data!$B$26^2-C169^2)/1029.4</f>
        <v>0</v>
      </c>
      <c r="I169" s="24" t="n">
        <f aca="false">MAX(0,MIN(F169,Well_Data!$B$23)-E169)</f>
        <v>31.3800000000001</v>
      </c>
      <c r="J169" s="26" t="n">
        <f aca="false">I169*(Well_Data!$B$25^2-C169^2)/1029.4</f>
        <v>1.53515572195454</v>
      </c>
      <c r="K169" s="25" t="n">
        <f aca="false">D169^2/1029.4</f>
        <v>0.0177619739654167</v>
      </c>
      <c r="L169" s="24" t="n">
        <f aca="false">F169-E169</f>
        <v>31.3800000000001</v>
      </c>
      <c r="M169" s="26" t="n">
        <f aca="false">K169*L169</f>
        <v>0.557370743034779</v>
      </c>
    </row>
    <row r="170" customFormat="false" ht="15" hidden="false" customHeight="true" outlineLevel="0" collapsed="false">
      <c r="A170" s="19" t="n">
        <f aca="false">Pipe_Tally!A170</f>
        <v>169</v>
      </c>
      <c r="B170" s="19" t="str">
        <f aca="false">Pipe_Tally!D170</f>
        <v>5in 19.50 ppf S-135 drill pipe</v>
      </c>
      <c r="C170" s="26" t="n">
        <f aca="false">Pipe_Tally!F170</f>
        <v>5</v>
      </c>
      <c r="D170" s="26" t="n">
        <f aca="false">Pipe_Tally!G170</f>
        <v>4.276</v>
      </c>
      <c r="E170" s="24" t="n">
        <f aca="false">Pipe_Tally!L170</f>
        <v>7337.56</v>
      </c>
      <c r="F170" s="24" t="n">
        <f aca="false">Pipe_Tally!M170</f>
        <v>7368.67</v>
      </c>
      <c r="G170" s="24" t="n">
        <f aca="false">MAX(0,MIN(F170,Well_Data!$B$10)-MAX(E170,Well_Data!$B$23))</f>
        <v>0</v>
      </c>
      <c r="H170" s="26" t="n">
        <f aca="false">G170*(Well_Data!$B$26^2-C170^2)/1029.4</f>
        <v>0</v>
      </c>
      <c r="I170" s="24" t="n">
        <f aca="false">MAX(0,MIN(F170,Well_Data!$B$23)-E170)</f>
        <v>31.1099999999997</v>
      </c>
      <c r="J170" s="26" t="n">
        <f aca="false">I170*(Well_Data!$B$25^2-C170^2)/1029.4</f>
        <v>1.5219469251117</v>
      </c>
      <c r="K170" s="25" t="n">
        <f aca="false">D170^2/1029.4</f>
        <v>0.0177619739654167</v>
      </c>
      <c r="L170" s="24" t="n">
        <f aca="false">F170-E170</f>
        <v>31.1099999999997</v>
      </c>
      <c r="M170" s="26" t="n">
        <f aca="false">K170*L170</f>
        <v>0.552575010064109</v>
      </c>
    </row>
    <row r="171" customFormat="false" ht="15" hidden="false" customHeight="true" outlineLevel="0" collapsed="false">
      <c r="A171" s="19" t="n">
        <f aca="false">Pipe_Tally!A171</f>
        <v>170</v>
      </c>
      <c r="B171" s="19" t="str">
        <f aca="false">Pipe_Tally!D171</f>
        <v>5in 19.50 ppf S-135 drill pipe</v>
      </c>
      <c r="C171" s="26" t="n">
        <f aca="false">Pipe_Tally!F171</f>
        <v>5</v>
      </c>
      <c r="D171" s="26" t="n">
        <f aca="false">Pipe_Tally!G171</f>
        <v>4.276</v>
      </c>
      <c r="E171" s="24" t="n">
        <f aca="false">Pipe_Tally!L171</f>
        <v>7306.23</v>
      </c>
      <c r="F171" s="24" t="n">
        <f aca="false">Pipe_Tally!M171</f>
        <v>7337.56</v>
      </c>
      <c r="G171" s="24" t="n">
        <f aca="false">MAX(0,MIN(F171,Well_Data!$B$10)-MAX(E171,Well_Data!$B$23))</f>
        <v>0</v>
      </c>
      <c r="H171" s="26" t="n">
        <f aca="false">G171*(Well_Data!$B$26^2-C171^2)/1029.4</f>
        <v>0</v>
      </c>
      <c r="I171" s="24" t="n">
        <f aca="false">MAX(0,MIN(F171,Well_Data!$B$23)-E171)</f>
        <v>31.3299999999999</v>
      </c>
      <c r="J171" s="26" t="n">
        <f aca="false">I171*(Well_Data!$B$25^2-C171^2)/1029.4</f>
        <v>1.53270964846512</v>
      </c>
      <c r="K171" s="25" t="n">
        <f aca="false">D171^2/1029.4</f>
        <v>0.0177619739654167</v>
      </c>
      <c r="L171" s="24" t="n">
        <f aca="false">F171-E171</f>
        <v>31.3299999999999</v>
      </c>
      <c r="M171" s="26" t="n">
        <f aca="false">K171*L171</f>
        <v>0.556482644336505</v>
      </c>
    </row>
    <row r="172" customFormat="false" ht="15" hidden="false" customHeight="true" outlineLevel="0" collapsed="false">
      <c r="A172" s="19" t="n">
        <f aca="false">Pipe_Tally!A172</f>
        <v>171</v>
      </c>
      <c r="B172" s="19" t="str">
        <f aca="false">Pipe_Tally!D172</f>
        <v>5in 19.50 ppf S-135 drill pipe</v>
      </c>
      <c r="C172" s="26" t="n">
        <f aca="false">Pipe_Tally!F172</f>
        <v>5</v>
      </c>
      <c r="D172" s="26" t="n">
        <f aca="false">Pipe_Tally!G172</f>
        <v>4.276</v>
      </c>
      <c r="E172" s="24" t="n">
        <f aca="false">Pipe_Tally!L172</f>
        <v>7274.95</v>
      </c>
      <c r="F172" s="24" t="n">
        <f aca="false">Pipe_Tally!M172</f>
        <v>7306.23</v>
      </c>
      <c r="G172" s="24" t="n">
        <f aca="false">MAX(0,MIN(F172,Well_Data!$B$10)-MAX(E172,Well_Data!$B$23))</f>
        <v>0</v>
      </c>
      <c r="H172" s="26" t="n">
        <f aca="false">G172*(Well_Data!$B$26^2-C172^2)/1029.4</f>
        <v>0</v>
      </c>
      <c r="I172" s="24" t="n">
        <f aca="false">MAX(0,MIN(F172,Well_Data!$B$23)-E172)</f>
        <v>31.2799999999997</v>
      </c>
      <c r="J172" s="26" t="n">
        <f aca="false">I172*(Well_Data!$B$25^2-C172^2)/1029.4</f>
        <v>1.5302635749757</v>
      </c>
      <c r="K172" s="25" t="n">
        <f aca="false">D172^2/1029.4</f>
        <v>0.0177619739654167</v>
      </c>
      <c r="L172" s="24" t="n">
        <f aca="false">F172-E172</f>
        <v>31.2799999999997</v>
      </c>
      <c r="M172" s="26" t="n">
        <f aca="false">K172*L172</f>
        <v>0.555594545638231</v>
      </c>
    </row>
    <row r="173" customFormat="false" ht="15" hidden="false" customHeight="true" outlineLevel="0" collapsed="false">
      <c r="A173" s="19" t="n">
        <f aca="false">Pipe_Tally!A173</f>
        <v>172</v>
      </c>
      <c r="B173" s="19" t="str">
        <f aca="false">Pipe_Tally!D173</f>
        <v>5in 19.50 ppf S-135 drill pipe</v>
      </c>
      <c r="C173" s="26" t="n">
        <f aca="false">Pipe_Tally!F173</f>
        <v>5</v>
      </c>
      <c r="D173" s="26" t="n">
        <f aca="false">Pipe_Tally!G173</f>
        <v>4.276</v>
      </c>
      <c r="E173" s="24" t="n">
        <f aca="false">Pipe_Tally!L173</f>
        <v>7243.7</v>
      </c>
      <c r="F173" s="24" t="n">
        <f aca="false">Pipe_Tally!M173</f>
        <v>7274.95</v>
      </c>
      <c r="G173" s="24" t="n">
        <f aca="false">MAX(0,MIN(F173,Well_Data!$B$10)-MAX(E173,Well_Data!$B$23))</f>
        <v>0</v>
      </c>
      <c r="H173" s="26" t="n">
        <f aca="false">G173*(Well_Data!$B$26^2-C173^2)/1029.4</f>
        <v>0</v>
      </c>
      <c r="I173" s="24" t="n">
        <f aca="false">MAX(0,MIN(F173,Well_Data!$B$23)-E173)</f>
        <v>31.25</v>
      </c>
      <c r="J173" s="26" t="n">
        <f aca="false">I173*(Well_Data!$B$25^2-C173^2)/1029.4</f>
        <v>1.52879593088207</v>
      </c>
      <c r="K173" s="25" t="n">
        <f aca="false">D173^2/1029.4</f>
        <v>0.0177619739654167</v>
      </c>
      <c r="L173" s="24" t="n">
        <f aca="false">F173-E173</f>
        <v>31.25</v>
      </c>
      <c r="M173" s="26" t="n">
        <f aca="false">K173*L173</f>
        <v>0.555061686419273</v>
      </c>
    </row>
    <row r="174" customFormat="false" ht="15" hidden="false" customHeight="true" outlineLevel="0" collapsed="false">
      <c r="A174" s="19" t="n">
        <f aca="false">Pipe_Tally!A174</f>
        <v>173</v>
      </c>
      <c r="B174" s="19" t="str">
        <f aca="false">Pipe_Tally!D174</f>
        <v>5in 19.50 ppf S-135 drill pipe</v>
      </c>
      <c r="C174" s="26" t="n">
        <f aca="false">Pipe_Tally!F174</f>
        <v>5</v>
      </c>
      <c r="D174" s="26" t="n">
        <f aca="false">Pipe_Tally!G174</f>
        <v>4.276</v>
      </c>
      <c r="E174" s="24" t="n">
        <f aca="false">Pipe_Tally!L174</f>
        <v>7212.34</v>
      </c>
      <c r="F174" s="24" t="n">
        <f aca="false">Pipe_Tally!M174</f>
        <v>7243.7</v>
      </c>
      <c r="G174" s="24" t="n">
        <f aca="false">MAX(0,MIN(F174,Well_Data!$B$10)-MAX(E174,Well_Data!$B$23))</f>
        <v>0</v>
      </c>
      <c r="H174" s="26" t="n">
        <f aca="false">G174*(Well_Data!$B$26^2-C174^2)/1029.4</f>
        <v>0</v>
      </c>
      <c r="I174" s="24" t="n">
        <f aca="false">MAX(0,MIN(F174,Well_Data!$B$23)-E174)</f>
        <v>31.3599999999997</v>
      </c>
      <c r="J174" s="26" t="n">
        <f aca="false">I174*(Well_Data!$B$25^2-C174^2)/1029.4</f>
        <v>1.53417729255876</v>
      </c>
      <c r="K174" s="25" t="n">
        <f aca="false">D174^2/1029.4</f>
        <v>0.0177619739654167</v>
      </c>
      <c r="L174" s="24" t="n">
        <f aca="false">F174-E174</f>
        <v>31.3599999999997</v>
      </c>
      <c r="M174" s="26" t="n">
        <f aca="false">K174*L174</f>
        <v>0.557015503555463</v>
      </c>
    </row>
    <row r="175" customFormat="false" ht="15" hidden="false" customHeight="true" outlineLevel="0" collapsed="false">
      <c r="A175" s="19" t="n">
        <f aca="false">Pipe_Tally!A175</f>
        <v>174</v>
      </c>
      <c r="B175" s="19" t="str">
        <f aca="false">Pipe_Tally!D175</f>
        <v>5in 19.50 ppf S-135 drill pipe</v>
      </c>
      <c r="C175" s="26" t="n">
        <f aca="false">Pipe_Tally!F175</f>
        <v>5</v>
      </c>
      <c r="D175" s="26" t="n">
        <f aca="false">Pipe_Tally!G175</f>
        <v>4.276</v>
      </c>
      <c r="E175" s="24" t="n">
        <f aca="false">Pipe_Tally!L175</f>
        <v>7181.05</v>
      </c>
      <c r="F175" s="24" t="n">
        <f aca="false">Pipe_Tally!M175</f>
        <v>7212.34</v>
      </c>
      <c r="G175" s="24" t="n">
        <f aca="false">MAX(0,MIN(F175,Well_Data!$B$10)-MAX(E175,Well_Data!$B$23))</f>
        <v>0</v>
      </c>
      <c r="H175" s="26" t="n">
        <f aca="false">G175*(Well_Data!$B$26^2-C175^2)/1029.4</f>
        <v>0</v>
      </c>
      <c r="I175" s="24" t="n">
        <f aca="false">MAX(0,MIN(F175,Well_Data!$B$23)-E175)</f>
        <v>31.29</v>
      </c>
      <c r="J175" s="26" t="n">
        <f aca="false">I175*(Well_Data!$B$25^2-C175^2)/1029.4</f>
        <v>1.53075278967359</v>
      </c>
      <c r="K175" s="25" t="n">
        <f aca="false">D175^2/1029.4</f>
        <v>0.0177619739654167</v>
      </c>
      <c r="L175" s="24" t="n">
        <f aca="false">F175-E175</f>
        <v>31.29</v>
      </c>
      <c r="M175" s="26" t="n">
        <f aca="false">K175*L175</f>
        <v>0.555772165377889</v>
      </c>
    </row>
    <row r="176" customFormat="false" ht="15" hidden="false" customHeight="true" outlineLevel="0" collapsed="false">
      <c r="A176" s="19" t="n">
        <f aca="false">Pipe_Tally!A176</f>
        <v>175</v>
      </c>
      <c r="B176" s="19" t="str">
        <f aca="false">Pipe_Tally!D176</f>
        <v>5in 19.50 ppf S-135 drill pipe</v>
      </c>
      <c r="C176" s="26" t="n">
        <f aca="false">Pipe_Tally!F176</f>
        <v>5</v>
      </c>
      <c r="D176" s="26" t="n">
        <f aca="false">Pipe_Tally!G176</f>
        <v>4.276</v>
      </c>
      <c r="E176" s="24" t="n">
        <f aca="false">Pipe_Tally!L176</f>
        <v>7150.27</v>
      </c>
      <c r="F176" s="24" t="n">
        <f aca="false">Pipe_Tally!M176</f>
        <v>7181.05</v>
      </c>
      <c r="G176" s="24" t="n">
        <f aca="false">MAX(0,MIN(F176,Well_Data!$B$10)-MAX(E176,Well_Data!$B$23))</f>
        <v>0</v>
      </c>
      <c r="H176" s="26" t="n">
        <f aca="false">G176*(Well_Data!$B$26^2-C176^2)/1029.4</f>
        <v>0</v>
      </c>
      <c r="I176" s="24" t="n">
        <f aca="false">MAX(0,MIN(F176,Well_Data!$B$23)-E176)</f>
        <v>30.7799999999997</v>
      </c>
      <c r="J176" s="26" t="n">
        <f aca="false">I176*(Well_Data!$B$25^2-C176^2)/1029.4</f>
        <v>1.50580284008159</v>
      </c>
      <c r="K176" s="25" t="n">
        <f aca="false">D176^2/1029.4</f>
        <v>0.0177619739654167</v>
      </c>
      <c r="L176" s="24" t="n">
        <f aca="false">F176-E176</f>
        <v>30.7799999999997</v>
      </c>
      <c r="M176" s="26" t="n">
        <f aca="false">K176*L176</f>
        <v>0.546713558655523</v>
      </c>
    </row>
    <row r="177" customFormat="false" ht="15" hidden="false" customHeight="true" outlineLevel="0" collapsed="false">
      <c r="A177" s="19" t="n">
        <f aca="false">Pipe_Tally!A177</f>
        <v>176</v>
      </c>
      <c r="B177" s="19" t="str">
        <f aca="false">Pipe_Tally!D177</f>
        <v>5in 19.50 ppf S-135 drill pipe</v>
      </c>
      <c r="C177" s="26" t="n">
        <f aca="false">Pipe_Tally!F177</f>
        <v>5</v>
      </c>
      <c r="D177" s="26" t="n">
        <f aca="false">Pipe_Tally!G177</f>
        <v>4.276</v>
      </c>
      <c r="E177" s="24" t="n">
        <f aca="false">Pipe_Tally!L177</f>
        <v>7119</v>
      </c>
      <c r="F177" s="24" t="n">
        <f aca="false">Pipe_Tally!M177</f>
        <v>7150.27</v>
      </c>
      <c r="G177" s="24" t="n">
        <f aca="false">MAX(0,MIN(F177,Well_Data!$B$10)-MAX(E177,Well_Data!$B$23))</f>
        <v>0</v>
      </c>
      <c r="H177" s="26" t="n">
        <f aca="false">G177*(Well_Data!$B$26^2-C177^2)/1029.4</f>
        <v>0</v>
      </c>
      <c r="I177" s="24" t="n">
        <f aca="false">MAX(0,MIN(F177,Well_Data!$B$23)-E177)</f>
        <v>31.2700000000004</v>
      </c>
      <c r="J177" s="26" t="n">
        <f aca="false">I177*(Well_Data!$B$25^2-C177^2)/1029.4</f>
        <v>1.52977436027785</v>
      </c>
      <c r="K177" s="25" t="n">
        <f aca="false">D177^2/1029.4</f>
        <v>0.0177619739654167</v>
      </c>
      <c r="L177" s="24" t="n">
        <f aca="false">F177-E177</f>
        <v>31.2700000000004</v>
      </c>
      <c r="M177" s="26" t="n">
        <f aca="false">K177*L177</f>
        <v>0.555416925898589</v>
      </c>
    </row>
    <row r="178" customFormat="false" ht="15" hidden="false" customHeight="true" outlineLevel="0" collapsed="false">
      <c r="A178" s="19" t="n">
        <f aca="false">Pipe_Tally!A178</f>
        <v>177</v>
      </c>
      <c r="B178" s="19" t="str">
        <f aca="false">Pipe_Tally!D178</f>
        <v>5in 19.50 ppf S-135 drill pipe</v>
      </c>
      <c r="C178" s="26" t="n">
        <f aca="false">Pipe_Tally!F178</f>
        <v>5</v>
      </c>
      <c r="D178" s="26" t="n">
        <f aca="false">Pipe_Tally!G178</f>
        <v>4.276</v>
      </c>
      <c r="E178" s="24" t="n">
        <f aca="false">Pipe_Tally!L178</f>
        <v>7087.58</v>
      </c>
      <c r="F178" s="24" t="n">
        <f aca="false">Pipe_Tally!M178</f>
        <v>7119</v>
      </c>
      <c r="G178" s="24" t="n">
        <f aca="false">MAX(0,MIN(F178,Well_Data!$B$10)-MAX(E178,Well_Data!$B$23))</f>
        <v>0</v>
      </c>
      <c r="H178" s="26" t="n">
        <f aca="false">G178*(Well_Data!$B$26^2-C178^2)/1029.4</f>
        <v>0</v>
      </c>
      <c r="I178" s="24" t="n">
        <f aca="false">MAX(0,MIN(F178,Well_Data!$B$23)-E178)</f>
        <v>31.4200000000001</v>
      </c>
      <c r="J178" s="26" t="n">
        <f aca="false">I178*(Well_Data!$B$25^2-C178^2)/1029.4</f>
        <v>1.53711258074607</v>
      </c>
      <c r="K178" s="25" t="n">
        <f aca="false">D178^2/1029.4</f>
        <v>0.0177619739654167</v>
      </c>
      <c r="L178" s="24" t="n">
        <f aca="false">F178-E178</f>
        <v>31.4200000000001</v>
      </c>
      <c r="M178" s="26" t="n">
        <f aca="false">K178*L178</f>
        <v>0.558081221993395</v>
      </c>
    </row>
    <row r="179" customFormat="false" ht="15" hidden="false" customHeight="true" outlineLevel="0" collapsed="false">
      <c r="A179" s="19" t="n">
        <f aca="false">Pipe_Tally!A179</f>
        <v>178</v>
      </c>
      <c r="B179" s="19" t="str">
        <f aca="false">Pipe_Tally!D179</f>
        <v>5in 19.50 ppf S-135 drill pipe</v>
      </c>
      <c r="C179" s="26" t="n">
        <f aca="false">Pipe_Tally!F179</f>
        <v>5</v>
      </c>
      <c r="D179" s="26" t="n">
        <f aca="false">Pipe_Tally!G179</f>
        <v>4.276</v>
      </c>
      <c r="E179" s="24" t="n">
        <f aca="false">Pipe_Tally!L179</f>
        <v>7056.65</v>
      </c>
      <c r="F179" s="24" t="n">
        <f aca="false">Pipe_Tally!M179</f>
        <v>7087.58</v>
      </c>
      <c r="G179" s="24" t="n">
        <f aca="false">MAX(0,MIN(F179,Well_Data!$B$10)-MAX(E179,Well_Data!$B$23))</f>
        <v>0</v>
      </c>
      <c r="H179" s="26" t="n">
        <f aca="false">G179*(Well_Data!$B$26^2-C179^2)/1029.4</f>
        <v>0</v>
      </c>
      <c r="I179" s="24" t="n">
        <f aca="false">MAX(0,MIN(F179,Well_Data!$B$23)-E179)</f>
        <v>30.9300000000003</v>
      </c>
      <c r="J179" s="26" t="n">
        <f aca="false">I179*(Well_Data!$B$25^2-C179^2)/1029.4</f>
        <v>1.51314106054985</v>
      </c>
      <c r="K179" s="25" t="n">
        <f aca="false">D179^2/1029.4</f>
        <v>0.0177619739654167</v>
      </c>
      <c r="L179" s="24" t="n">
        <f aca="false">F179-E179</f>
        <v>30.9300000000003</v>
      </c>
      <c r="M179" s="26" t="n">
        <f aca="false">K179*L179</f>
        <v>0.549377854750345</v>
      </c>
    </row>
    <row r="180" customFormat="false" ht="15" hidden="false" customHeight="true" outlineLevel="0" collapsed="false">
      <c r="A180" s="19" t="n">
        <f aca="false">Pipe_Tally!A180</f>
        <v>179</v>
      </c>
      <c r="B180" s="19" t="str">
        <f aca="false">Pipe_Tally!D180</f>
        <v>5in 19.50 ppf S-135 drill pipe</v>
      </c>
      <c r="C180" s="26" t="n">
        <f aca="false">Pipe_Tally!F180</f>
        <v>5</v>
      </c>
      <c r="D180" s="26" t="n">
        <f aca="false">Pipe_Tally!G180</f>
        <v>4.276</v>
      </c>
      <c r="E180" s="24" t="n">
        <f aca="false">Pipe_Tally!L180</f>
        <v>7025.12</v>
      </c>
      <c r="F180" s="24" t="n">
        <f aca="false">Pipe_Tally!M180</f>
        <v>7056.65</v>
      </c>
      <c r="G180" s="24" t="n">
        <f aca="false">MAX(0,MIN(F180,Well_Data!$B$10)-MAX(E180,Well_Data!$B$23))</f>
        <v>0</v>
      </c>
      <c r="H180" s="26" t="n">
        <f aca="false">G180*(Well_Data!$B$26^2-C180^2)/1029.4</f>
        <v>0</v>
      </c>
      <c r="I180" s="24" t="n">
        <f aca="false">MAX(0,MIN(F180,Well_Data!$B$23)-E180)</f>
        <v>31.5299999999997</v>
      </c>
      <c r="J180" s="26" t="n">
        <f aca="false">I180*(Well_Data!$B$25^2-C180^2)/1029.4</f>
        <v>1.54249394242276</v>
      </c>
      <c r="K180" s="25" t="n">
        <f aca="false">D180^2/1029.4</f>
        <v>0.0177619739654167</v>
      </c>
      <c r="L180" s="24" t="n">
        <f aca="false">F180-E180</f>
        <v>31.5299999999997</v>
      </c>
      <c r="M180" s="26" t="n">
        <f aca="false">K180*L180</f>
        <v>0.560035039129585</v>
      </c>
    </row>
    <row r="181" customFormat="false" ht="15" hidden="false" customHeight="true" outlineLevel="0" collapsed="false">
      <c r="A181" s="19" t="n">
        <f aca="false">Pipe_Tally!A181</f>
        <v>180</v>
      </c>
      <c r="B181" s="19" t="str">
        <f aca="false">Pipe_Tally!D181</f>
        <v>5in 19.50 ppf S-135 drill pipe</v>
      </c>
      <c r="C181" s="26" t="n">
        <f aca="false">Pipe_Tally!F181</f>
        <v>5</v>
      </c>
      <c r="D181" s="26" t="n">
        <f aca="false">Pipe_Tally!G181</f>
        <v>4.276</v>
      </c>
      <c r="E181" s="24" t="n">
        <f aca="false">Pipe_Tally!L181</f>
        <v>6994.1</v>
      </c>
      <c r="F181" s="24" t="n">
        <f aca="false">Pipe_Tally!M181</f>
        <v>7025.12</v>
      </c>
      <c r="G181" s="24" t="n">
        <f aca="false">MAX(0,MIN(F181,Well_Data!$B$10)-MAX(E181,Well_Data!$B$23))</f>
        <v>0</v>
      </c>
      <c r="H181" s="26" t="n">
        <f aca="false">G181*(Well_Data!$B$26^2-C181^2)/1029.4</f>
        <v>0</v>
      </c>
      <c r="I181" s="24" t="n">
        <f aca="false">MAX(0,MIN(F181,Well_Data!$B$23)-E181)</f>
        <v>31.0200000000004</v>
      </c>
      <c r="J181" s="26" t="n">
        <f aca="false">I181*(Well_Data!$B$25^2-C181^2)/1029.4</f>
        <v>1.5175439928308</v>
      </c>
      <c r="K181" s="25" t="n">
        <f aca="false">D181^2/1029.4</f>
        <v>0.0177619739654167</v>
      </c>
      <c r="L181" s="24" t="n">
        <f aca="false">F181-E181</f>
        <v>31.0200000000004</v>
      </c>
      <c r="M181" s="26" t="n">
        <f aca="false">K181*L181</f>
        <v>0.550976432407235</v>
      </c>
    </row>
    <row r="182" customFormat="false" ht="15" hidden="false" customHeight="true" outlineLevel="0" collapsed="false">
      <c r="A182" s="19" t="n">
        <f aca="false">Pipe_Tally!A182</f>
        <v>181</v>
      </c>
      <c r="B182" s="19" t="str">
        <f aca="false">Pipe_Tally!D182</f>
        <v>5in 19.50 ppf S-135 drill pipe</v>
      </c>
      <c r="C182" s="26" t="n">
        <f aca="false">Pipe_Tally!F182</f>
        <v>5</v>
      </c>
      <c r="D182" s="26" t="n">
        <f aca="false">Pipe_Tally!G182</f>
        <v>4.276</v>
      </c>
      <c r="E182" s="24" t="n">
        <f aca="false">Pipe_Tally!L182</f>
        <v>6962.71</v>
      </c>
      <c r="F182" s="24" t="n">
        <f aca="false">Pipe_Tally!M182</f>
        <v>6994.1</v>
      </c>
      <c r="G182" s="24" t="n">
        <f aca="false">MAX(0,MIN(F182,Well_Data!$B$10)-MAX(E182,Well_Data!$B$23))</f>
        <v>0</v>
      </c>
      <c r="H182" s="26" t="n">
        <f aca="false">G182*(Well_Data!$B$26^2-C182^2)/1029.4</f>
        <v>0</v>
      </c>
      <c r="I182" s="24" t="n">
        <f aca="false">MAX(0,MIN(F182,Well_Data!$B$23)-E182)</f>
        <v>31.3900000000003</v>
      </c>
      <c r="J182" s="26" t="n">
        <f aca="false">I182*(Well_Data!$B$25^2-C182^2)/1029.4</f>
        <v>1.53564493665243</v>
      </c>
      <c r="K182" s="25" t="n">
        <f aca="false">D182^2/1029.4</f>
        <v>0.0177619739654167</v>
      </c>
      <c r="L182" s="24" t="n">
        <f aca="false">F182-E182</f>
        <v>31.3900000000003</v>
      </c>
      <c r="M182" s="26" t="n">
        <f aca="false">K182*L182</f>
        <v>0.557548362774437</v>
      </c>
    </row>
    <row r="183" customFormat="false" ht="15" hidden="false" customHeight="true" outlineLevel="0" collapsed="false">
      <c r="A183" s="19" t="n">
        <f aca="false">Pipe_Tally!A183</f>
        <v>182</v>
      </c>
      <c r="B183" s="19" t="str">
        <f aca="false">Pipe_Tally!D183</f>
        <v>5in 19.50 ppf S-135 drill pipe</v>
      </c>
      <c r="C183" s="26" t="n">
        <f aca="false">Pipe_Tally!F183</f>
        <v>5</v>
      </c>
      <c r="D183" s="26" t="n">
        <f aca="false">Pipe_Tally!G183</f>
        <v>4.276</v>
      </c>
      <c r="E183" s="24" t="n">
        <f aca="false">Pipe_Tally!L183</f>
        <v>6931.7</v>
      </c>
      <c r="F183" s="24" t="n">
        <f aca="false">Pipe_Tally!M183</f>
        <v>6962.71</v>
      </c>
      <c r="G183" s="24" t="n">
        <f aca="false">MAX(0,MIN(F183,Well_Data!$B$10)-MAX(E183,Well_Data!$B$23))</f>
        <v>0</v>
      </c>
      <c r="H183" s="26" t="n">
        <f aca="false">G183*(Well_Data!$B$26^2-C183^2)/1029.4</f>
        <v>0</v>
      </c>
      <c r="I183" s="24" t="n">
        <f aca="false">MAX(0,MIN(F183,Well_Data!$B$23)-E183)</f>
        <v>31.0100000000002</v>
      </c>
      <c r="J183" s="26" t="n">
        <f aca="false">I183*(Well_Data!$B$25^2-C183^2)/1029.4</f>
        <v>1.5170547781329</v>
      </c>
      <c r="K183" s="25" t="n">
        <f aca="false">D183^2/1029.4</f>
        <v>0.0177619739654167</v>
      </c>
      <c r="L183" s="24" t="n">
        <f aca="false">F183-E183</f>
        <v>31.0100000000002</v>
      </c>
      <c r="M183" s="26" t="n">
        <f aca="false">K183*L183</f>
        <v>0.550798812667577</v>
      </c>
    </row>
    <row r="184" customFormat="false" ht="15" hidden="false" customHeight="true" outlineLevel="0" collapsed="false">
      <c r="A184" s="19" t="n">
        <f aca="false">Pipe_Tally!A184</f>
        <v>183</v>
      </c>
      <c r="B184" s="19" t="str">
        <f aca="false">Pipe_Tally!D184</f>
        <v>5in 19.50 ppf S-135 drill pipe</v>
      </c>
      <c r="C184" s="26" t="n">
        <f aca="false">Pipe_Tally!F184</f>
        <v>5</v>
      </c>
      <c r="D184" s="26" t="n">
        <f aca="false">Pipe_Tally!G184</f>
        <v>4.276</v>
      </c>
      <c r="E184" s="24" t="n">
        <f aca="false">Pipe_Tally!L184</f>
        <v>6900.51</v>
      </c>
      <c r="F184" s="24" t="n">
        <f aca="false">Pipe_Tally!M184</f>
        <v>6931.7</v>
      </c>
      <c r="G184" s="24" t="n">
        <f aca="false">MAX(0,MIN(F184,Well_Data!$B$10)-MAX(E184,Well_Data!$B$23))</f>
        <v>0</v>
      </c>
      <c r="H184" s="26" t="n">
        <f aca="false">G184*(Well_Data!$B$26^2-C184^2)/1029.4</f>
        <v>0</v>
      </c>
      <c r="I184" s="24" t="n">
        <f aca="false">MAX(0,MIN(F184,Well_Data!$B$23)-E184)</f>
        <v>31.1899999999996</v>
      </c>
      <c r="J184" s="26" t="n">
        <f aca="false">I184*(Well_Data!$B$25^2-C184^2)/1029.4</f>
        <v>1.52586064269475</v>
      </c>
      <c r="K184" s="25" t="n">
        <f aca="false">D184^2/1029.4</f>
        <v>0.0177619739654167</v>
      </c>
      <c r="L184" s="24" t="n">
        <f aca="false">F184-E184</f>
        <v>31.1899999999996</v>
      </c>
      <c r="M184" s="26" t="n">
        <f aca="false">K184*L184</f>
        <v>0.553995967981341</v>
      </c>
    </row>
    <row r="185" customFormat="false" ht="15" hidden="false" customHeight="true" outlineLevel="0" collapsed="false">
      <c r="A185" s="19" t="n">
        <f aca="false">Pipe_Tally!A185</f>
        <v>184</v>
      </c>
      <c r="B185" s="19" t="str">
        <f aca="false">Pipe_Tally!D185</f>
        <v>5in 19.50 ppf S-135 drill pipe</v>
      </c>
      <c r="C185" s="26" t="n">
        <f aca="false">Pipe_Tally!F185</f>
        <v>5</v>
      </c>
      <c r="D185" s="26" t="n">
        <f aca="false">Pipe_Tally!G185</f>
        <v>4.276</v>
      </c>
      <c r="E185" s="24" t="n">
        <f aca="false">Pipe_Tally!L185</f>
        <v>6869.24</v>
      </c>
      <c r="F185" s="24" t="n">
        <f aca="false">Pipe_Tally!M185</f>
        <v>6900.51</v>
      </c>
      <c r="G185" s="24" t="n">
        <f aca="false">MAX(0,MIN(F185,Well_Data!$B$10)-MAX(E185,Well_Data!$B$23))</f>
        <v>0</v>
      </c>
      <c r="H185" s="26" t="n">
        <f aca="false">G185*(Well_Data!$B$26^2-C185^2)/1029.4</f>
        <v>0</v>
      </c>
      <c r="I185" s="24" t="n">
        <f aca="false">MAX(0,MIN(F185,Well_Data!$B$23)-E185)</f>
        <v>31.2700000000004</v>
      </c>
      <c r="J185" s="26" t="n">
        <f aca="false">I185*(Well_Data!$B$25^2-C185^2)/1029.4</f>
        <v>1.52977436027785</v>
      </c>
      <c r="K185" s="25" t="n">
        <f aca="false">D185^2/1029.4</f>
        <v>0.0177619739654167</v>
      </c>
      <c r="L185" s="24" t="n">
        <f aca="false">F185-E185</f>
        <v>31.2700000000004</v>
      </c>
      <c r="M185" s="26" t="n">
        <f aca="false">K185*L185</f>
        <v>0.555416925898589</v>
      </c>
    </row>
    <row r="186" customFormat="false" ht="15" hidden="false" customHeight="true" outlineLevel="0" collapsed="false">
      <c r="A186" s="19" t="n">
        <f aca="false">Pipe_Tally!A186</f>
        <v>185</v>
      </c>
      <c r="B186" s="19" t="str">
        <f aca="false">Pipe_Tally!D186</f>
        <v>5in 19.50 ppf S-135 drill pipe</v>
      </c>
      <c r="C186" s="26" t="n">
        <f aca="false">Pipe_Tally!F186</f>
        <v>5</v>
      </c>
      <c r="D186" s="26" t="n">
        <f aca="false">Pipe_Tally!G186</f>
        <v>4.276</v>
      </c>
      <c r="E186" s="24" t="n">
        <f aca="false">Pipe_Tally!L186</f>
        <v>6837.85</v>
      </c>
      <c r="F186" s="24" t="n">
        <f aca="false">Pipe_Tally!M186</f>
        <v>6869.24</v>
      </c>
      <c r="G186" s="24" t="n">
        <f aca="false">MAX(0,MIN(F186,Well_Data!$B$10)-MAX(E186,Well_Data!$B$23))</f>
        <v>0</v>
      </c>
      <c r="H186" s="26" t="n">
        <f aca="false">G186*(Well_Data!$B$26^2-C186^2)/1029.4</f>
        <v>0</v>
      </c>
      <c r="I186" s="24" t="n">
        <f aca="false">MAX(0,MIN(F186,Well_Data!$B$23)-E186)</f>
        <v>31.3900000000003</v>
      </c>
      <c r="J186" s="26" t="n">
        <f aca="false">I186*(Well_Data!$B$25^2-C186^2)/1029.4</f>
        <v>1.53564493665243</v>
      </c>
      <c r="K186" s="25" t="n">
        <f aca="false">D186^2/1029.4</f>
        <v>0.0177619739654167</v>
      </c>
      <c r="L186" s="24" t="n">
        <f aca="false">F186-E186</f>
        <v>31.3900000000003</v>
      </c>
      <c r="M186" s="26" t="n">
        <f aca="false">K186*L186</f>
        <v>0.557548362774437</v>
      </c>
    </row>
    <row r="187" customFormat="false" ht="15" hidden="false" customHeight="true" outlineLevel="0" collapsed="false">
      <c r="A187" s="19" t="n">
        <f aca="false">Pipe_Tally!A187</f>
        <v>186</v>
      </c>
      <c r="B187" s="19" t="str">
        <f aca="false">Pipe_Tally!D187</f>
        <v>5in 19.50 ppf S-135 drill pipe</v>
      </c>
      <c r="C187" s="26" t="n">
        <f aca="false">Pipe_Tally!F187</f>
        <v>5</v>
      </c>
      <c r="D187" s="26" t="n">
        <f aca="false">Pipe_Tally!G187</f>
        <v>4.276</v>
      </c>
      <c r="E187" s="24" t="n">
        <f aca="false">Pipe_Tally!L187</f>
        <v>6806.87</v>
      </c>
      <c r="F187" s="24" t="n">
        <f aca="false">Pipe_Tally!M187</f>
        <v>6837.85</v>
      </c>
      <c r="G187" s="24" t="n">
        <f aca="false">MAX(0,MIN(F187,Well_Data!$B$10)-MAX(E187,Well_Data!$B$23))</f>
        <v>0</v>
      </c>
      <c r="H187" s="26" t="n">
        <f aca="false">G187*(Well_Data!$B$26^2-C187^2)/1029.4</f>
        <v>0</v>
      </c>
      <c r="I187" s="24" t="n">
        <f aca="false">MAX(0,MIN(F187,Well_Data!$B$23)-E187)</f>
        <v>30.9799999999996</v>
      </c>
      <c r="J187" s="26" t="n">
        <f aca="false">I187*(Well_Data!$B$25^2-C187^2)/1029.4</f>
        <v>1.51558713403922</v>
      </c>
      <c r="K187" s="25" t="n">
        <f aca="false">D187^2/1029.4</f>
        <v>0.0177619739654167</v>
      </c>
      <c r="L187" s="24" t="n">
        <f aca="false">F187-E187</f>
        <v>30.9799999999996</v>
      </c>
      <c r="M187" s="26" t="n">
        <f aca="false">K187*L187</f>
        <v>0.550265953448603</v>
      </c>
    </row>
    <row r="188" customFormat="false" ht="15" hidden="false" customHeight="true" outlineLevel="0" collapsed="false">
      <c r="A188" s="19" t="n">
        <f aca="false">Pipe_Tally!A188</f>
        <v>187</v>
      </c>
      <c r="B188" s="19" t="str">
        <f aca="false">Pipe_Tally!D188</f>
        <v>5in 19.50 ppf S-135 drill pipe</v>
      </c>
      <c r="C188" s="26" t="n">
        <f aca="false">Pipe_Tally!F188</f>
        <v>5</v>
      </c>
      <c r="D188" s="26" t="n">
        <f aca="false">Pipe_Tally!G188</f>
        <v>4.276</v>
      </c>
      <c r="E188" s="24" t="n">
        <f aca="false">Pipe_Tally!L188</f>
        <v>6775.46</v>
      </c>
      <c r="F188" s="24" t="n">
        <f aca="false">Pipe_Tally!M188</f>
        <v>6806.87</v>
      </c>
      <c r="G188" s="24" t="n">
        <f aca="false">MAX(0,MIN(F188,Well_Data!$B$10)-MAX(E188,Well_Data!$B$23))</f>
        <v>0</v>
      </c>
      <c r="H188" s="26" t="n">
        <f aca="false">G188*(Well_Data!$B$26^2-C188^2)/1029.4</f>
        <v>0</v>
      </c>
      <c r="I188" s="24" t="n">
        <f aca="false">MAX(0,MIN(F188,Well_Data!$B$23)-E188)</f>
        <v>31.4099999999999</v>
      </c>
      <c r="J188" s="26" t="n">
        <f aca="false">I188*(Well_Data!$B$25^2-C188^2)/1029.4</f>
        <v>1.53662336604818</v>
      </c>
      <c r="K188" s="25" t="n">
        <f aca="false">D188^2/1029.4</f>
        <v>0.0177619739654167</v>
      </c>
      <c r="L188" s="24" t="n">
        <f aca="false">F188-E188</f>
        <v>31.4099999999999</v>
      </c>
      <c r="M188" s="26" t="n">
        <f aca="false">K188*L188</f>
        <v>0.557903602253737</v>
      </c>
    </row>
    <row r="189" customFormat="false" ht="15" hidden="false" customHeight="true" outlineLevel="0" collapsed="false">
      <c r="A189" s="19" t="n">
        <f aca="false">Pipe_Tally!A189</f>
        <v>188</v>
      </c>
      <c r="B189" s="19" t="str">
        <f aca="false">Pipe_Tally!D189</f>
        <v>5in 19.50 ppf S-135 drill pipe</v>
      </c>
      <c r="C189" s="26" t="n">
        <f aca="false">Pipe_Tally!F189</f>
        <v>5</v>
      </c>
      <c r="D189" s="26" t="n">
        <f aca="false">Pipe_Tally!G189</f>
        <v>4.276</v>
      </c>
      <c r="E189" s="24" t="n">
        <f aca="false">Pipe_Tally!L189</f>
        <v>6744.37</v>
      </c>
      <c r="F189" s="24" t="n">
        <f aca="false">Pipe_Tally!M189</f>
        <v>6775.46</v>
      </c>
      <c r="G189" s="24" t="n">
        <f aca="false">MAX(0,MIN(F189,Well_Data!$B$10)-MAX(E189,Well_Data!$B$23))</f>
        <v>0</v>
      </c>
      <c r="H189" s="26" t="n">
        <f aca="false">G189*(Well_Data!$B$26^2-C189^2)/1029.4</f>
        <v>0</v>
      </c>
      <c r="I189" s="24" t="n">
        <f aca="false">MAX(0,MIN(F189,Well_Data!$B$23)-E189)</f>
        <v>31.0900000000001</v>
      </c>
      <c r="J189" s="26" t="n">
        <f aca="false">I189*(Well_Data!$B$25^2-C189^2)/1029.4</f>
        <v>1.52096849571596</v>
      </c>
      <c r="K189" s="25" t="n">
        <f aca="false">D189^2/1029.4</f>
        <v>0.0177619739654167</v>
      </c>
      <c r="L189" s="24" t="n">
        <f aca="false">F189-E189</f>
        <v>31.0900000000001</v>
      </c>
      <c r="M189" s="26" t="n">
        <f aca="false">K189*L189</f>
        <v>0.552219770584809</v>
      </c>
    </row>
    <row r="190" customFormat="false" ht="15" hidden="false" customHeight="true" outlineLevel="0" collapsed="false">
      <c r="A190" s="19" t="n">
        <f aca="false">Pipe_Tally!A190</f>
        <v>189</v>
      </c>
      <c r="B190" s="19" t="str">
        <f aca="false">Pipe_Tally!D190</f>
        <v>5in 19.50 ppf S-135 drill pipe</v>
      </c>
      <c r="C190" s="26" t="n">
        <f aca="false">Pipe_Tally!F190</f>
        <v>5</v>
      </c>
      <c r="D190" s="26" t="n">
        <f aca="false">Pipe_Tally!G190</f>
        <v>4.276</v>
      </c>
      <c r="E190" s="24" t="n">
        <f aca="false">Pipe_Tally!L190</f>
        <v>6712.98</v>
      </c>
      <c r="F190" s="24" t="n">
        <f aca="false">Pipe_Tally!M190</f>
        <v>6744.37</v>
      </c>
      <c r="G190" s="24" t="n">
        <f aca="false">MAX(0,MIN(F190,Well_Data!$B$10)-MAX(E190,Well_Data!$B$23))</f>
        <v>0</v>
      </c>
      <c r="H190" s="26" t="n">
        <f aca="false">G190*(Well_Data!$B$26^2-C190^2)/1029.4</f>
        <v>0</v>
      </c>
      <c r="I190" s="24" t="n">
        <f aca="false">MAX(0,MIN(F190,Well_Data!$B$23)-E190)</f>
        <v>31.3900000000003</v>
      </c>
      <c r="J190" s="26" t="n">
        <f aca="false">I190*(Well_Data!$B$25^2-C190^2)/1029.4</f>
        <v>1.53564493665243</v>
      </c>
      <c r="K190" s="25" t="n">
        <f aca="false">D190^2/1029.4</f>
        <v>0.0177619739654167</v>
      </c>
      <c r="L190" s="24" t="n">
        <f aca="false">F190-E190</f>
        <v>31.3900000000003</v>
      </c>
      <c r="M190" s="26" t="n">
        <f aca="false">K190*L190</f>
        <v>0.557548362774437</v>
      </c>
    </row>
    <row r="191" customFormat="false" ht="15" hidden="false" customHeight="true" outlineLevel="0" collapsed="false">
      <c r="A191" s="19" t="n">
        <f aca="false">Pipe_Tally!A191</f>
        <v>190</v>
      </c>
      <c r="B191" s="19" t="str">
        <f aca="false">Pipe_Tally!D191</f>
        <v>5in 19.50 ppf S-135 drill pipe</v>
      </c>
      <c r="C191" s="26" t="n">
        <f aca="false">Pipe_Tally!F191</f>
        <v>5</v>
      </c>
      <c r="D191" s="26" t="n">
        <f aca="false">Pipe_Tally!G191</f>
        <v>4.276</v>
      </c>
      <c r="E191" s="24" t="n">
        <f aca="false">Pipe_Tally!L191</f>
        <v>6682.09</v>
      </c>
      <c r="F191" s="24" t="n">
        <f aca="false">Pipe_Tally!M191</f>
        <v>6712.98</v>
      </c>
      <c r="G191" s="24" t="n">
        <f aca="false">MAX(0,MIN(F191,Well_Data!$B$10)-MAX(E191,Well_Data!$B$23))</f>
        <v>0</v>
      </c>
      <c r="H191" s="26" t="n">
        <f aca="false">G191*(Well_Data!$B$26^2-C191^2)/1029.4</f>
        <v>0</v>
      </c>
      <c r="I191" s="24" t="n">
        <f aca="false">MAX(0,MIN(F191,Well_Data!$B$23)-E191)</f>
        <v>30.8900000000003</v>
      </c>
      <c r="J191" s="26" t="n">
        <f aca="false">I191*(Well_Data!$B$25^2-C191^2)/1029.4</f>
        <v>1.51118420175832</v>
      </c>
      <c r="K191" s="25" t="n">
        <f aca="false">D191^2/1029.4</f>
        <v>0.0177619739654167</v>
      </c>
      <c r="L191" s="24" t="n">
        <f aca="false">F191-E191</f>
        <v>30.8900000000003</v>
      </c>
      <c r="M191" s="26" t="n">
        <f aca="false">K191*L191</f>
        <v>0.548667375791729</v>
      </c>
    </row>
    <row r="192" customFormat="false" ht="15" hidden="false" customHeight="true" outlineLevel="0" collapsed="false">
      <c r="A192" s="19" t="n">
        <f aca="false">Pipe_Tally!A192</f>
        <v>191</v>
      </c>
      <c r="B192" s="19" t="str">
        <f aca="false">Pipe_Tally!D192</f>
        <v>5in 19.50 ppf S-135 drill pipe</v>
      </c>
      <c r="C192" s="26" t="n">
        <f aca="false">Pipe_Tally!F192</f>
        <v>5</v>
      </c>
      <c r="D192" s="26" t="n">
        <f aca="false">Pipe_Tally!G192</f>
        <v>4.276</v>
      </c>
      <c r="E192" s="24" t="n">
        <f aca="false">Pipe_Tally!L192</f>
        <v>6650.91</v>
      </c>
      <c r="F192" s="24" t="n">
        <f aca="false">Pipe_Tally!M192</f>
        <v>6682.09</v>
      </c>
      <c r="G192" s="24" t="n">
        <f aca="false">MAX(0,MIN(F192,Well_Data!$B$10)-MAX(E192,Well_Data!$B$23))</f>
        <v>0</v>
      </c>
      <c r="H192" s="26" t="n">
        <f aca="false">G192*(Well_Data!$B$26^2-C192^2)/1029.4</f>
        <v>0</v>
      </c>
      <c r="I192" s="24" t="n">
        <f aca="false">MAX(0,MIN(F192,Well_Data!$B$23)-E192)</f>
        <v>31.1800000000003</v>
      </c>
      <c r="J192" s="26" t="n">
        <f aca="false">I192*(Well_Data!$B$25^2-C192^2)/1029.4</f>
        <v>1.52537142799691</v>
      </c>
      <c r="K192" s="25" t="n">
        <f aca="false">D192^2/1029.4</f>
        <v>0.0177619739654167</v>
      </c>
      <c r="L192" s="24" t="n">
        <f aca="false">F192-E192</f>
        <v>31.1800000000003</v>
      </c>
      <c r="M192" s="26" t="n">
        <f aca="false">K192*L192</f>
        <v>0.553818348241699</v>
      </c>
    </row>
    <row r="193" customFormat="false" ht="15" hidden="false" customHeight="true" outlineLevel="0" collapsed="false">
      <c r="A193" s="19" t="n">
        <f aca="false">Pipe_Tally!A193</f>
        <v>192</v>
      </c>
      <c r="B193" s="19" t="str">
        <f aca="false">Pipe_Tally!D193</f>
        <v>5in 19.50 ppf S-135 drill pipe</v>
      </c>
      <c r="C193" s="26" t="n">
        <f aca="false">Pipe_Tally!F193</f>
        <v>5</v>
      </c>
      <c r="D193" s="26" t="n">
        <f aca="false">Pipe_Tally!G193</f>
        <v>4.276</v>
      </c>
      <c r="E193" s="24" t="n">
        <f aca="false">Pipe_Tally!L193</f>
        <v>6620.07</v>
      </c>
      <c r="F193" s="24" t="n">
        <f aca="false">Pipe_Tally!M193</f>
        <v>6650.91</v>
      </c>
      <c r="G193" s="24" t="n">
        <f aca="false">MAX(0,MIN(F193,Well_Data!$B$10)-MAX(E193,Well_Data!$B$23))</f>
        <v>0</v>
      </c>
      <c r="H193" s="26" t="n">
        <f aca="false">G193*(Well_Data!$B$26^2-C193^2)/1029.4</f>
        <v>0</v>
      </c>
      <c r="I193" s="24" t="n">
        <f aca="false">MAX(0,MIN(F193,Well_Data!$B$23)-E193)</f>
        <v>30.8400000000001</v>
      </c>
      <c r="J193" s="26" t="n">
        <f aca="false">I193*(Well_Data!$B$25^2-C193^2)/1029.4</f>
        <v>1.5087381282689</v>
      </c>
      <c r="K193" s="25" t="n">
        <f aca="false">D193^2/1029.4</f>
        <v>0.0177619739654167</v>
      </c>
      <c r="L193" s="24" t="n">
        <f aca="false">F193-E193</f>
        <v>30.8400000000001</v>
      </c>
      <c r="M193" s="26" t="n">
        <f aca="false">K193*L193</f>
        <v>0.547779277093455</v>
      </c>
    </row>
    <row r="194" customFormat="false" ht="15" hidden="false" customHeight="true" outlineLevel="0" collapsed="false">
      <c r="A194" s="19" t="n">
        <f aca="false">Pipe_Tally!A194</f>
        <v>193</v>
      </c>
      <c r="B194" s="19" t="str">
        <f aca="false">Pipe_Tally!D194</f>
        <v>5in 19.50 ppf S-135 drill pipe</v>
      </c>
      <c r="C194" s="26" t="n">
        <f aca="false">Pipe_Tally!F194</f>
        <v>5</v>
      </c>
      <c r="D194" s="26" t="n">
        <f aca="false">Pipe_Tally!G194</f>
        <v>4.276</v>
      </c>
      <c r="E194" s="24" t="n">
        <f aca="false">Pipe_Tally!L194</f>
        <v>6588.75</v>
      </c>
      <c r="F194" s="24" t="n">
        <f aca="false">Pipe_Tally!M194</f>
        <v>6620.07</v>
      </c>
      <c r="G194" s="24" t="n">
        <f aca="false">MAX(0,MIN(F194,Well_Data!$B$10)-MAX(E194,Well_Data!$B$23))</f>
        <v>0</v>
      </c>
      <c r="H194" s="26" t="n">
        <f aca="false">G194*(Well_Data!$B$26^2-C194^2)/1029.4</f>
        <v>0</v>
      </c>
      <c r="I194" s="24" t="n">
        <f aca="false">MAX(0,MIN(F194,Well_Data!$B$23)-E194)</f>
        <v>31.3199999999997</v>
      </c>
      <c r="J194" s="26" t="n">
        <f aca="false">I194*(Well_Data!$B$25^2-C194^2)/1029.4</f>
        <v>1.53222043376723</v>
      </c>
      <c r="K194" s="25" t="n">
        <f aca="false">D194^2/1029.4</f>
        <v>0.0177619739654167</v>
      </c>
      <c r="L194" s="24" t="n">
        <f aca="false">F194-E194</f>
        <v>31.3199999999997</v>
      </c>
      <c r="M194" s="26" t="n">
        <f aca="false">K194*L194</f>
        <v>0.556305024596847</v>
      </c>
    </row>
    <row r="195" customFormat="false" ht="15" hidden="false" customHeight="true" outlineLevel="0" collapsed="false">
      <c r="A195" s="19" t="n">
        <f aca="false">Pipe_Tally!A195</f>
        <v>194</v>
      </c>
      <c r="B195" s="19" t="str">
        <f aca="false">Pipe_Tally!D195</f>
        <v>5in 19.50 ppf S-135 drill pipe</v>
      </c>
      <c r="C195" s="26" t="n">
        <f aca="false">Pipe_Tally!F195</f>
        <v>5</v>
      </c>
      <c r="D195" s="26" t="n">
        <f aca="false">Pipe_Tally!G195</f>
        <v>4.276</v>
      </c>
      <c r="E195" s="24" t="n">
        <f aca="false">Pipe_Tally!L195</f>
        <v>6557.49</v>
      </c>
      <c r="F195" s="24" t="n">
        <f aca="false">Pipe_Tally!M195</f>
        <v>6588.75</v>
      </c>
      <c r="G195" s="24" t="n">
        <f aca="false">MAX(0,MIN(F195,Well_Data!$B$10)-MAX(E195,Well_Data!$B$23))</f>
        <v>0</v>
      </c>
      <c r="H195" s="26" t="n">
        <f aca="false">G195*(Well_Data!$B$26^2-C195^2)/1029.4</f>
        <v>0</v>
      </c>
      <c r="I195" s="24" t="n">
        <f aca="false">MAX(0,MIN(F195,Well_Data!$B$23)-E195)</f>
        <v>31.2600000000002</v>
      </c>
      <c r="J195" s="26" t="n">
        <f aca="false">I195*(Well_Data!$B$25^2-C195^2)/1029.4</f>
        <v>1.52928514557996</v>
      </c>
      <c r="K195" s="25" t="n">
        <f aca="false">D195^2/1029.4</f>
        <v>0.0177619739654167</v>
      </c>
      <c r="L195" s="24" t="n">
        <f aca="false">F195-E195</f>
        <v>31.2600000000002</v>
      </c>
      <c r="M195" s="26" t="n">
        <f aca="false">K195*L195</f>
        <v>0.555239306158931</v>
      </c>
    </row>
    <row r="196" customFormat="false" ht="15" hidden="false" customHeight="true" outlineLevel="0" collapsed="false">
      <c r="A196" s="19" t="n">
        <f aca="false">Pipe_Tally!A196</f>
        <v>195</v>
      </c>
      <c r="B196" s="19" t="str">
        <f aca="false">Pipe_Tally!D196</f>
        <v>5in 19.50 ppf S-135 drill pipe</v>
      </c>
      <c r="C196" s="26" t="n">
        <f aca="false">Pipe_Tally!F196</f>
        <v>5</v>
      </c>
      <c r="D196" s="26" t="n">
        <f aca="false">Pipe_Tally!G196</f>
        <v>4.276</v>
      </c>
      <c r="E196" s="24" t="n">
        <f aca="false">Pipe_Tally!L196</f>
        <v>6526.37</v>
      </c>
      <c r="F196" s="24" t="n">
        <f aca="false">Pipe_Tally!M196</f>
        <v>6557.49</v>
      </c>
      <c r="G196" s="24" t="n">
        <f aca="false">MAX(0,MIN(F196,Well_Data!$B$10)-MAX(E196,Well_Data!$B$23))</f>
        <v>0</v>
      </c>
      <c r="H196" s="26" t="n">
        <f aca="false">G196*(Well_Data!$B$26^2-C196^2)/1029.4</f>
        <v>0</v>
      </c>
      <c r="I196" s="24" t="n">
        <f aca="false">MAX(0,MIN(F196,Well_Data!$B$23)-E196)</f>
        <v>31.1199999999999</v>
      </c>
      <c r="J196" s="26" t="n">
        <f aca="false">I196*(Well_Data!$B$25^2-C196^2)/1029.4</f>
        <v>1.52243613980959</v>
      </c>
      <c r="K196" s="25" t="n">
        <f aca="false">D196^2/1029.4</f>
        <v>0.0177619739654167</v>
      </c>
      <c r="L196" s="24" t="n">
        <f aca="false">F196-E196</f>
        <v>31.1199999999999</v>
      </c>
      <c r="M196" s="26" t="n">
        <f aca="false">K196*L196</f>
        <v>0.552752629803767</v>
      </c>
    </row>
    <row r="197" customFormat="false" ht="15" hidden="false" customHeight="true" outlineLevel="0" collapsed="false">
      <c r="A197" s="19" t="n">
        <f aca="false">Pipe_Tally!A197</f>
        <v>196</v>
      </c>
      <c r="B197" s="19" t="str">
        <f aca="false">Pipe_Tally!D197</f>
        <v>5in 19.50 ppf S-135 drill pipe</v>
      </c>
      <c r="C197" s="26" t="n">
        <f aca="false">Pipe_Tally!F197</f>
        <v>5</v>
      </c>
      <c r="D197" s="26" t="n">
        <f aca="false">Pipe_Tally!G197</f>
        <v>4.276</v>
      </c>
      <c r="E197" s="24" t="n">
        <f aca="false">Pipe_Tally!L197</f>
        <v>6495.51</v>
      </c>
      <c r="F197" s="24" t="n">
        <f aca="false">Pipe_Tally!M197</f>
        <v>6526.37</v>
      </c>
      <c r="G197" s="24" t="n">
        <f aca="false">MAX(0,MIN(F197,Well_Data!$B$10)-MAX(E197,Well_Data!$B$23))</f>
        <v>0</v>
      </c>
      <c r="H197" s="26" t="n">
        <f aca="false">G197*(Well_Data!$B$26^2-C197^2)/1029.4</f>
        <v>0</v>
      </c>
      <c r="I197" s="24" t="n">
        <f aca="false">MAX(0,MIN(F197,Well_Data!$B$23)-E197)</f>
        <v>30.8599999999997</v>
      </c>
      <c r="J197" s="26" t="n">
        <f aca="false">I197*(Well_Data!$B$25^2-C197^2)/1029.4</f>
        <v>1.50971655766464</v>
      </c>
      <c r="K197" s="25" t="n">
        <f aca="false">D197^2/1029.4</f>
        <v>0.0177619739654167</v>
      </c>
      <c r="L197" s="24" t="n">
        <f aca="false">F197-E197</f>
        <v>30.8599999999997</v>
      </c>
      <c r="M197" s="26" t="n">
        <f aca="false">K197*L197</f>
        <v>0.548134516572755</v>
      </c>
    </row>
    <row r="198" customFormat="false" ht="15" hidden="false" customHeight="true" outlineLevel="0" collapsed="false">
      <c r="A198" s="19" t="n">
        <f aca="false">Pipe_Tally!A198</f>
        <v>197</v>
      </c>
      <c r="B198" s="19" t="str">
        <f aca="false">Pipe_Tally!D198</f>
        <v>5in 19.50 ppf S-135 drill pipe</v>
      </c>
      <c r="C198" s="26" t="n">
        <f aca="false">Pipe_Tally!F198</f>
        <v>5</v>
      </c>
      <c r="D198" s="26" t="n">
        <f aca="false">Pipe_Tally!G198</f>
        <v>4.276</v>
      </c>
      <c r="E198" s="24" t="n">
        <f aca="false">Pipe_Tally!L198</f>
        <v>6464.69</v>
      </c>
      <c r="F198" s="24" t="n">
        <f aca="false">Pipe_Tally!M198</f>
        <v>6495.51</v>
      </c>
      <c r="G198" s="24" t="n">
        <f aca="false">MAX(0,MIN(F198,Well_Data!$B$10)-MAX(E198,Well_Data!$B$23))</f>
        <v>0</v>
      </c>
      <c r="H198" s="26" t="n">
        <f aca="false">G198*(Well_Data!$B$26^2-C198^2)/1029.4</f>
        <v>0</v>
      </c>
      <c r="I198" s="24" t="n">
        <f aca="false">MAX(0,MIN(F198,Well_Data!$B$23)-E198)</f>
        <v>30.8199999999997</v>
      </c>
      <c r="J198" s="26" t="n">
        <f aca="false">I198*(Well_Data!$B$25^2-C198^2)/1029.4</f>
        <v>1.50775969887312</v>
      </c>
      <c r="K198" s="25" t="n">
        <f aca="false">D198^2/1029.4</f>
        <v>0.0177619739654167</v>
      </c>
      <c r="L198" s="24" t="n">
        <f aca="false">F198-E198</f>
        <v>30.8199999999997</v>
      </c>
      <c r="M198" s="26" t="n">
        <f aca="false">K198*L198</f>
        <v>0.547424037614139</v>
      </c>
    </row>
    <row r="199" customFormat="false" ht="15" hidden="false" customHeight="true" outlineLevel="0" collapsed="false">
      <c r="A199" s="19" t="n">
        <f aca="false">Pipe_Tally!A199</f>
        <v>198</v>
      </c>
      <c r="B199" s="19" t="str">
        <f aca="false">Pipe_Tally!D199</f>
        <v>5in 19.50 ppf S-135 drill pipe</v>
      </c>
      <c r="C199" s="26" t="n">
        <f aca="false">Pipe_Tally!F199</f>
        <v>5</v>
      </c>
      <c r="D199" s="26" t="n">
        <f aca="false">Pipe_Tally!G199</f>
        <v>4.276</v>
      </c>
      <c r="E199" s="24" t="n">
        <f aca="false">Pipe_Tally!L199</f>
        <v>6433.78</v>
      </c>
      <c r="F199" s="24" t="n">
        <f aca="false">Pipe_Tally!M199</f>
        <v>6464.69</v>
      </c>
      <c r="G199" s="24" t="n">
        <f aca="false">MAX(0,MIN(F199,Well_Data!$B$10)-MAX(E199,Well_Data!$B$23))</f>
        <v>0</v>
      </c>
      <c r="H199" s="26" t="n">
        <f aca="false">G199*(Well_Data!$B$26^2-C199^2)/1029.4</f>
        <v>0</v>
      </c>
      <c r="I199" s="24" t="n">
        <f aca="false">MAX(0,MIN(F199,Well_Data!$B$23)-E199)</f>
        <v>30.9099999999999</v>
      </c>
      <c r="J199" s="26" t="n">
        <f aca="false">I199*(Well_Data!$B$25^2-C199^2)/1029.4</f>
        <v>1.51216263115406</v>
      </c>
      <c r="K199" s="25" t="n">
        <f aca="false">D199^2/1029.4</f>
        <v>0.0177619739654167</v>
      </c>
      <c r="L199" s="24" t="n">
        <f aca="false">F199-E199</f>
        <v>30.9099999999999</v>
      </c>
      <c r="M199" s="26" t="n">
        <f aca="false">K199*L199</f>
        <v>0.549022615271029</v>
      </c>
    </row>
    <row r="200" customFormat="false" ht="15" hidden="false" customHeight="true" outlineLevel="0" collapsed="false">
      <c r="A200" s="19" t="n">
        <f aca="false">Pipe_Tally!A200</f>
        <v>199</v>
      </c>
      <c r="B200" s="19" t="str">
        <f aca="false">Pipe_Tally!D200</f>
        <v>5in 19.50 ppf S-135 drill pipe</v>
      </c>
      <c r="C200" s="26" t="n">
        <f aca="false">Pipe_Tally!F200</f>
        <v>5</v>
      </c>
      <c r="D200" s="26" t="n">
        <f aca="false">Pipe_Tally!G200</f>
        <v>4.276</v>
      </c>
      <c r="E200" s="24" t="n">
        <f aca="false">Pipe_Tally!L200</f>
        <v>6402.3</v>
      </c>
      <c r="F200" s="24" t="n">
        <f aca="false">Pipe_Tally!M200</f>
        <v>6433.78</v>
      </c>
      <c r="G200" s="24" t="n">
        <f aca="false">MAX(0,MIN(F200,Well_Data!$B$10)-MAX(E200,Well_Data!$B$23))</f>
        <v>0</v>
      </c>
      <c r="H200" s="26" t="n">
        <f aca="false">G200*(Well_Data!$B$26^2-C200^2)/1029.4</f>
        <v>0</v>
      </c>
      <c r="I200" s="24" t="n">
        <f aca="false">MAX(0,MIN(F200,Well_Data!$B$23)-E200)</f>
        <v>31.4799999999996</v>
      </c>
      <c r="J200" s="26" t="n">
        <f aca="false">I200*(Well_Data!$B$25^2-C200^2)/1029.4</f>
        <v>1.54004786893334</v>
      </c>
      <c r="K200" s="25" t="n">
        <f aca="false">D200^2/1029.4</f>
        <v>0.0177619739654167</v>
      </c>
      <c r="L200" s="24" t="n">
        <f aca="false">F200-E200</f>
        <v>31.4799999999996</v>
      </c>
      <c r="M200" s="26" t="n">
        <f aca="false">K200*L200</f>
        <v>0.559146940431311</v>
      </c>
    </row>
    <row r="201" customFormat="false" ht="15" hidden="false" customHeight="true" outlineLevel="0" collapsed="false">
      <c r="A201" s="19" t="n">
        <f aca="false">Pipe_Tally!A201</f>
        <v>200</v>
      </c>
      <c r="B201" s="19" t="str">
        <f aca="false">Pipe_Tally!D201</f>
        <v>5in 19.50 ppf S-135 drill pipe</v>
      </c>
      <c r="C201" s="26" t="n">
        <f aca="false">Pipe_Tally!F201</f>
        <v>5</v>
      </c>
      <c r="D201" s="26" t="n">
        <f aca="false">Pipe_Tally!G201</f>
        <v>4.276</v>
      </c>
      <c r="E201" s="24" t="n">
        <f aca="false">Pipe_Tally!L201</f>
        <v>6371.36</v>
      </c>
      <c r="F201" s="24" t="n">
        <f aca="false">Pipe_Tally!M201</f>
        <v>6402.3</v>
      </c>
      <c r="G201" s="24" t="n">
        <f aca="false">MAX(0,MIN(F201,Well_Data!$B$10)-MAX(E201,Well_Data!$B$23))</f>
        <v>0</v>
      </c>
      <c r="H201" s="26" t="n">
        <f aca="false">G201*(Well_Data!$B$26^2-C201^2)/1029.4</f>
        <v>0</v>
      </c>
      <c r="I201" s="24" t="n">
        <f aca="false">MAX(0,MIN(F201,Well_Data!$B$23)-E201)</f>
        <v>30.9399999999996</v>
      </c>
      <c r="J201" s="26" t="n">
        <f aca="false">I201*(Well_Data!$B$25^2-C201^2)/1029.4</f>
        <v>1.5136302752477</v>
      </c>
      <c r="K201" s="25" t="n">
        <f aca="false">D201^2/1029.4</f>
        <v>0.0177619739654167</v>
      </c>
      <c r="L201" s="24" t="n">
        <f aca="false">F201-E201</f>
        <v>30.9399999999996</v>
      </c>
      <c r="M201" s="26" t="n">
        <f aca="false">K201*L201</f>
        <v>0.549555474489987</v>
      </c>
    </row>
    <row r="202" customFormat="false" ht="15" hidden="false" customHeight="true" outlineLevel="0" collapsed="false">
      <c r="A202" s="19" t="n">
        <f aca="false">Pipe_Tally!A202</f>
        <v>201</v>
      </c>
      <c r="B202" s="19" t="str">
        <f aca="false">Pipe_Tally!D202</f>
        <v>5in 19.50 ppf S-135 drill pipe</v>
      </c>
      <c r="C202" s="26" t="n">
        <f aca="false">Pipe_Tally!F202</f>
        <v>5</v>
      </c>
      <c r="D202" s="26" t="n">
        <f aca="false">Pipe_Tally!G202</f>
        <v>4.276</v>
      </c>
      <c r="E202" s="24" t="n">
        <f aca="false">Pipe_Tally!L202</f>
        <v>6340.02</v>
      </c>
      <c r="F202" s="24" t="n">
        <f aca="false">Pipe_Tally!M202</f>
        <v>6371.36</v>
      </c>
      <c r="G202" s="24" t="n">
        <f aca="false">MAX(0,MIN(F202,Well_Data!$B$10)-MAX(E202,Well_Data!$B$23))</f>
        <v>0</v>
      </c>
      <c r="H202" s="26" t="n">
        <f aca="false">G202*(Well_Data!$B$26^2-C202^2)/1029.4</f>
        <v>0</v>
      </c>
      <c r="I202" s="24" t="n">
        <f aca="false">MAX(0,MIN(F202,Well_Data!$B$23)-E202)</f>
        <v>31.3400000000001</v>
      </c>
      <c r="J202" s="26" t="n">
        <f aca="false">I202*(Well_Data!$B$25^2-C202^2)/1029.4</f>
        <v>1.53319886316301</v>
      </c>
      <c r="K202" s="25" t="n">
        <f aca="false">D202^2/1029.4</f>
        <v>0.0177619739654167</v>
      </c>
      <c r="L202" s="24" t="n">
        <f aca="false">F202-E202</f>
        <v>31.3400000000001</v>
      </c>
      <c r="M202" s="26" t="n">
        <f aca="false">K202*L202</f>
        <v>0.556660264076163</v>
      </c>
    </row>
    <row r="203" customFormat="false" ht="15" hidden="false" customHeight="true" outlineLevel="0" collapsed="false">
      <c r="A203" s="19" t="n">
        <f aca="false">Pipe_Tally!A203</f>
        <v>202</v>
      </c>
      <c r="B203" s="19" t="str">
        <f aca="false">Pipe_Tally!D203</f>
        <v>5in 19.50 ppf S-135 drill pipe</v>
      </c>
      <c r="C203" s="26" t="n">
        <f aca="false">Pipe_Tally!F203</f>
        <v>5</v>
      </c>
      <c r="D203" s="26" t="n">
        <f aca="false">Pipe_Tally!G203</f>
        <v>4.276</v>
      </c>
      <c r="E203" s="24" t="n">
        <f aca="false">Pipe_Tally!L203</f>
        <v>6308.91</v>
      </c>
      <c r="F203" s="24" t="n">
        <f aca="false">Pipe_Tally!M203</f>
        <v>6340.02</v>
      </c>
      <c r="G203" s="24" t="n">
        <f aca="false">MAX(0,MIN(F203,Well_Data!$B$10)-MAX(E203,Well_Data!$B$23))</f>
        <v>0</v>
      </c>
      <c r="H203" s="26" t="n">
        <f aca="false">G203*(Well_Data!$B$26^2-C203^2)/1029.4</f>
        <v>0</v>
      </c>
      <c r="I203" s="24" t="n">
        <f aca="false">MAX(0,MIN(F203,Well_Data!$B$23)-E203)</f>
        <v>31.1099999999997</v>
      </c>
      <c r="J203" s="26" t="n">
        <f aca="false">I203*(Well_Data!$B$25^2-C203^2)/1029.4</f>
        <v>1.5219469251117</v>
      </c>
      <c r="K203" s="25" t="n">
        <f aca="false">D203^2/1029.4</f>
        <v>0.0177619739654167</v>
      </c>
      <c r="L203" s="24" t="n">
        <f aca="false">F203-E203</f>
        <v>31.1099999999997</v>
      </c>
      <c r="M203" s="26" t="n">
        <f aca="false">K203*L203</f>
        <v>0.552575010064109</v>
      </c>
    </row>
    <row r="204" customFormat="false" ht="15" hidden="false" customHeight="true" outlineLevel="0" collapsed="false">
      <c r="A204" s="19" t="n">
        <f aca="false">Pipe_Tally!A204</f>
        <v>203</v>
      </c>
      <c r="B204" s="19" t="str">
        <f aca="false">Pipe_Tally!D204</f>
        <v>5in 19.50 ppf S-135 drill pipe</v>
      </c>
      <c r="C204" s="26" t="n">
        <f aca="false">Pipe_Tally!F204</f>
        <v>5</v>
      </c>
      <c r="D204" s="26" t="n">
        <f aca="false">Pipe_Tally!G204</f>
        <v>4.276</v>
      </c>
      <c r="E204" s="24" t="n">
        <f aca="false">Pipe_Tally!L204</f>
        <v>6277.52</v>
      </c>
      <c r="F204" s="24" t="n">
        <f aca="false">Pipe_Tally!M204</f>
        <v>6308.91</v>
      </c>
      <c r="G204" s="24" t="n">
        <f aca="false">MAX(0,MIN(F204,Well_Data!$B$10)-MAX(E204,Well_Data!$B$23))</f>
        <v>0</v>
      </c>
      <c r="H204" s="26" t="n">
        <f aca="false">G204*(Well_Data!$B$26^2-C204^2)/1029.4</f>
        <v>0</v>
      </c>
      <c r="I204" s="24" t="n">
        <f aca="false">MAX(0,MIN(F204,Well_Data!$B$23)-E204)</f>
        <v>31.3900000000003</v>
      </c>
      <c r="J204" s="26" t="n">
        <f aca="false">I204*(Well_Data!$B$25^2-C204^2)/1029.4</f>
        <v>1.53564493665243</v>
      </c>
      <c r="K204" s="25" t="n">
        <f aca="false">D204^2/1029.4</f>
        <v>0.0177619739654167</v>
      </c>
      <c r="L204" s="24" t="n">
        <f aca="false">F204-E204</f>
        <v>31.3900000000003</v>
      </c>
      <c r="M204" s="26" t="n">
        <f aca="false">K204*L204</f>
        <v>0.557548362774437</v>
      </c>
    </row>
    <row r="205" customFormat="false" ht="15" hidden="false" customHeight="true" outlineLevel="0" collapsed="false">
      <c r="A205" s="19" t="n">
        <f aca="false">Pipe_Tally!A205</f>
        <v>204</v>
      </c>
      <c r="B205" s="19" t="str">
        <f aca="false">Pipe_Tally!D205</f>
        <v>5in 19.50 ppf S-135 drill pipe</v>
      </c>
      <c r="C205" s="26" t="n">
        <f aca="false">Pipe_Tally!F205</f>
        <v>5</v>
      </c>
      <c r="D205" s="26" t="n">
        <f aca="false">Pipe_Tally!G205</f>
        <v>4.276</v>
      </c>
      <c r="E205" s="24" t="n">
        <f aca="false">Pipe_Tally!L205</f>
        <v>6246.39</v>
      </c>
      <c r="F205" s="24" t="n">
        <f aca="false">Pipe_Tally!M205</f>
        <v>6277.52</v>
      </c>
      <c r="G205" s="24" t="n">
        <f aca="false">MAX(0,MIN(F205,Well_Data!$B$10)-MAX(E205,Well_Data!$B$23))</f>
        <v>0</v>
      </c>
      <c r="H205" s="26" t="n">
        <f aca="false">G205*(Well_Data!$B$26^2-C205^2)/1029.4</f>
        <v>0</v>
      </c>
      <c r="I205" s="24" t="n">
        <f aca="false">MAX(0,MIN(F205,Well_Data!$B$23)-E205)</f>
        <v>31.1300000000001</v>
      </c>
      <c r="J205" s="26" t="n">
        <f aca="false">I205*(Well_Data!$B$25^2-C205^2)/1029.4</f>
        <v>1.52292535450749</v>
      </c>
      <c r="K205" s="25" t="n">
        <f aca="false">D205^2/1029.4</f>
        <v>0.0177619739654167</v>
      </c>
      <c r="L205" s="24" t="n">
        <f aca="false">F205-E205</f>
        <v>31.1300000000001</v>
      </c>
      <c r="M205" s="26" t="n">
        <f aca="false">K205*L205</f>
        <v>0.552930249543425</v>
      </c>
    </row>
    <row r="206" customFormat="false" ht="15" hidden="false" customHeight="true" outlineLevel="0" collapsed="false">
      <c r="A206" s="19" t="n">
        <f aca="false">Pipe_Tally!A206</f>
        <v>205</v>
      </c>
      <c r="B206" s="19" t="str">
        <f aca="false">Pipe_Tally!D206</f>
        <v>5in 19.50 ppf S-135 drill pipe</v>
      </c>
      <c r="C206" s="26" t="n">
        <f aca="false">Pipe_Tally!F206</f>
        <v>5</v>
      </c>
      <c r="D206" s="26" t="n">
        <f aca="false">Pipe_Tally!G206</f>
        <v>4.276</v>
      </c>
      <c r="E206" s="24" t="n">
        <f aca="false">Pipe_Tally!L206</f>
        <v>6215.1</v>
      </c>
      <c r="F206" s="24" t="n">
        <f aca="false">Pipe_Tally!M206</f>
        <v>6246.39</v>
      </c>
      <c r="G206" s="24" t="n">
        <f aca="false">MAX(0,MIN(F206,Well_Data!$B$10)-MAX(E206,Well_Data!$B$23))</f>
        <v>0</v>
      </c>
      <c r="H206" s="26" t="n">
        <f aca="false">G206*(Well_Data!$B$26^2-C206^2)/1029.4</f>
        <v>0</v>
      </c>
      <c r="I206" s="24" t="n">
        <f aca="false">MAX(0,MIN(F206,Well_Data!$B$23)-E206)</f>
        <v>31.29</v>
      </c>
      <c r="J206" s="26" t="n">
        <f aca="false">I206*(Well_Data!$B$25^2-C206^2)/1029.4</f>
        <v>1.53075278967359</v>
      </c>
      <c r="K206" s="25" t="n">
        <f aca="false">D206^2/1029.4</f>
        <v>0.0177619739654167</v>
      </c>
      <c r="L206" s="24" t="n">
        <f aca="false">F206-E206</f>
        <v>31.29</v>
      </c>
      <c r="M206" s="26" t="n">
        <f aca="false">K206*L206</f>
        <v>0.555772165377889</v>
      </c>
    </row>
    <row r="207" customFormat="false" ht="15" hidden="false" customHeight="true" outlineLevel="0" collapsed="false">
      <c r="A207" s="19" t="n">
        <f aca="false">Pipe_Tally!A207</f>
        <v>206</v>
      </c>
      <c r="B207" s="19" t="str">
        <f aca="false">Pipe_Tally!D207</f>
        <v>5in 19.50 ppf S-135 drill pipe</v>
      </c>
      <c r="C207" s="26" t="n">
        <f aca="false">Pipe_Tally!F207</f>
        <v>5</v>
      </c>
      <c r="D207" s="26" t="n">
        <f aca="false">Pipe_Tally!G207</f>
        <v>4.276</v>
      </c>
      <c r="E207" s="24" t="n">
        <f aca="false">Pipe_Tally!L207</f>
        <v>6183.77</v>
      </c>
      <c r="F207" s="24" t="n">
        <f aca="false">Pipe_Tally!M207</f>
        <v>6215.1</v>
      </c>
      <c r="G207" s="24" t="n">
        <f aca="false">MAX(0,MIN(F207,Well_Data!$B$10)-MAX(E207,Well_Data!$B$23))</f>
        <v>0</v>
      </c>
      <c r="H207" s="26" t="n">
        <f aca="false">G207*(Well_Data!$B$26^2-C207^2)/1029.4</f>
        <v>0</v>
      </c>
      <c r="I207" s="24" t="n">
        <f aca="false">MAX(0,MIN(F207,Well_Data!$B$23)-E207)</f>
        <v>31.3299999999999</v>
      </c>
      <c r="J207" s="26" t="n">
        <f aca="false">I207*(Well_Data!$B$25^2-C207^2)/1029.4</f>
        <v>1.53270964846512</v>
      </c>
      <c r="K207" s="25" t="n">
        <f aca="false">D207^2/1029.4</f>
        <v>0.0177619739654167</v>
      </c>
      <c r="L207" s="24" t="n">
        <f aca="false">F207-E207</f>
        <v>31.3299999999999</v>
      </c>
      <c r="M207" s="26" t="n">
        <f aca="false">K207*L207</f>
        <v>0.556482644336505</v>
      </c>
    </row>
    <row r="208" customFormat="false" ht="15" hidden="false" customHeight="true" outlineLevel="0" collapsed="false">
      <c r="A208" s="19" t="n">
        <f aca="false">Pipe_Tally!A208</f>
        <v>207</v>
      </c>
      <c r="B208" s="19" t="str">
        <f aca="false">Pipe_Tally!D208</f>
        <v>5in 19.50 ppf S-135 drill pipe</v>
      </c>
      <c r="C208" s="26" t="n">
        <f aca="false">Pipe_Tally!F208</f>
        <v>5</v>
      </c>
      <c r="D208" s="26" t="n">
        <f aca="false">Pipe_Tally!G208</f>
        <v>4.276</v>
      </c>
      <c r="E208" s="24" t="n">
        <f aca="false">Pipe_Tally!L208</f>
        <v>6152.38</v>
      </c>
      <c r="F208" s="24" t="n">
        <f aca="false">Pipe_Tally!M208</f>
        <v>6183.77</v>
      </c>
      <c r="G208" s="24" t="n">
        <f aca="false">MAX(0,MIN(F208,Well_Data!$B$10)-MAX(E208,Well_Data!$B$23))</f>
        <v>0</v>
      </c>
      <c r="H208" s="26" t="n">
        <f aca="false">G208*(Well_Data!$B$26^2-C208^2)/1029.4</f>
        <v>0</v>
      </c>
      <c r="I208" s="24" t="n">
        <f aca="false">MAX(0,MIN(F208,Well_Data!$B$23)-E208)</f>
        <v>31.3900000000003</v>
      </c>
      <c r="J208" s="26" t="n">
        <f aca="false">I208*(Well_Data!$B$25^2-C208^2)/1029.4</f>
        <v>1.53564493665243</v>
      </c>
      <c r="K208" s="25" t="n">
        <f aca="false">D208^2/1029.4</f>
        <v>0.0177619739654167</v>
      </c>
      <c r="L208" s="24" t="n">
        <f aca="false">F208-E208</f>
        <v>31.3900000000003</v>
      </c>
      <c r="M208" s="26" t="n">
        <f aca="false">K208*L208</f>
        <v>0.557548362774437</v>
      </c>
    </row>
    <row r="209" customFormat="false" ht="15" hidden="false" customHeight="true" outlineLevel="0" collapsed="false">
      <c r="A209" s="19" t="n">
        <f aca="false">Pipe_Tally!A209</f>
        <v>208</v>
      </c>
      <c r="B209" s="19" t="str">
        <f aca="false">Pipe_Tally!D209</f>
        <v>5in 19.50 ppf S-135 drill pipe</v>
      </c>
      <c r="C209" s="26" t="n">
        <f aca="false">Pipe_Tally!F209</f>
        <v>5</v>
      </c>
      <c r="D209" s="26" t="n">
        <f aca="false">Pipe_Tally!G209</f>
        <v>4.276</v>
      </c>
      <c r="E209" s="24" t="n">
        <f aca="false">Pipe_Tally!L209</f>
        <v>6121.29</v>
      </c>
      <c r="F209" s="24" t="n">
        <f aca="false">Pipe_Tally!M209</f>
        <v>6152.38</v>
      </c>
      <c r="G209" s="24" t="n">
        <f aca="false">MAX(0,MIN(F209,Well_Data!$B$10)-MAX(E209,Well_Data!$B$23))</f>
        <v>0</v>
      </c>
      <c r="H209" s="26" t="n">
        <f aca="false">G209*(Well_Data!$B$26^2-C209^2)/1029.4</f>
        <v>0</v>
      </c>
      <c r="I209" s="24" t="n">
        <f aca="false">MAX(0,MIN(F209,Well_Data!$B$23)-E209)</f>
        <v>31.0900000000001</v>
      </c>
      <c r="J209" s="26" t="n">
        <f aca="false">I209*(Well_Data!$B$25^2-C209^2)/1029.4</f>
        <v>1.52096849571596</v>
      </c>
      <c r="K209" s="25" t="n">
        <f aca="false">D209^2/1029.4</f>
        <v>0.0177619739654167</v>
      </c>
      <c r="L209" s="24" t="n">
        <f aca="false">F209-E209</f>
        <v>31.0900000000001</v>
      </c>
      <c r="M209" s="26" t="n">
        <f aca="false">K209*L209</f>
        <v>0.552219770584809</v>
      </c>
    </row>
    <row r="210" customFormat="false" ht="15" hidden="false" customHeight="true" outlineLevel="0" collapsed="false">
      <c r="A210" s="19" t="n">
        <f aca="false">Pipe_Tally!A210</f>
        <v>209</v>
      </c>
      <c r="B210" s="19" t="str">
        <f aca="false">Pipe_Tally!D210</f>
        <v>5in 19.50 ppf S-135 drill pipe</v>
      </c>
      <c r="C210" s="26" t="n">
        <f aca="false">Pipe_Tally!F210</f>
        <v>5</v>
      </c>
      <c r="D210" s="26" t="n">
        <f aca="false">Pipe_Tally!G210</f>
        <v>4.276</v>
      </c>
      <c r="E210" s="24" t="n">
        <f aca="false">Pipe_Tally!L210</f>
        <v>6090.06</v>
      </c>
      <c r="F210" s="24" t="n">
        <f aca="false">Pipe_Tally!M210</f>
        <v>6121.29</v>
      </c>
      <c r="G210" s="24" t="n">
        <f aca="false">MAX(0,MIN(F210,Well_Data!$B$10)-MAX(E210,Well_Data!$B$23))</f>
        <v>0</v>
      </c>
      <c r="H210" s="26" t="n">
        <f aca="false">G210*(Well_Data!$B$26^2-C210^2)/1029.4</f>
        <v>0</v>
      </c>
      <c r="I210" s="24" t="n">
        <f aca="false">MAX(0,MIN(F210,Well_Data!$B$23)-E210)</f>
        <v>31.2299999999996</v>
      </c>
      <c r="J210" s="26" t="n">
        <f aca="false">I210*(Well_Data!$B$25^2-C210^2)/1029.4</f>
        <v>1.52781750148628</v>
      </c>
      <c r="K210" s="25" t="n">
        <f aca="false">D210^2/1029.4</f>
        <v>0.0177619739654167</v>
      </c>
      <c r="L210" s="24" t="n">
        <f aca="false">F210-E210</f>
        <v>31.2299999999996</v>
      </c>
      <c r="M210" s="26" t="n">
        <f aca="false">K210*L210</f>
        <v>0.554706446939957</v>
      </c>
    </row>
    <row r="211" customFormat="false" ht="15" hidden="false" customHeight="true" outlineLevel="0" collapsed="false">
      <c r="A211" s="19" t="n">
        <f aca="false">Pipe_Tally!A211</f>
        <v>210</v>
      </c>
      <c r="B211" s="19" t="str">
        <f aca="false">Pipe_Tally!D211</f>
        <v>5in 19.50 ppf S-135 drill pipe</v>
      </c>
      <c r="C211" s="26" t="n">
        <f aca="false">Pipe_Tally!F211</f>
        <v>5</v>
      </c>
      <c r="D211" s="26" t="n">
        <f aca="false">Pipe_Tally!G211</f>
        <v>4.276</v>
      </c>
      <c r="E211" s="24" t="n">
        <f aca="false">Pipe_Tally!L211</f>
        <v>6059.41</v>
      </c>
      <c r="F211" s="24" t="n">
        <f aca="false">Pipe_Tally!M211</f>
        <v>6090.06</v>
      </c>
      <c r="G211" s="24" t="n">
        <f aca="false">MAX(0,MIN(F211,Well_Data!$B$10)-MAX(E211,Well_Data!$B$23))</f>
        <v>0</v>
      </c>
      <c r="H211" s="26" t="n">
        <f aca="false">G211*(Well_Data!$B$26^2-C211^2)/1029.4</f>
        <v>0</v>
      </c>
      <c r="I211" s="24" t="n">
        <f aca="false">MAX(0,MIN(F211,Well_Data!$B$23)-E211)</f>
        <v>30.6499999999996</v>
      </c>
      <c r="J211" s="26" t="n">
        <f aca="false">I211*(Well_Data!$B$25^2-C211^2)/1029.4</f>
        <v>1.49944304900911</v>
      </c>
      <c r="K211" s="25" t="n">
        <f aca="false">D211^2/1029.4</f>
        <v>0.0177619739654167</v>
      </c>
      <c r="L211" s="24" t="n">
        <f aca="false">F211-E211</f>
        <v>30.6499999999996</v>
      </c>
      <c r="M211" s="26" t="n">
        <f aca="false">K211*L211</f>
        <v>0.544404502040017</v>
      </c>
    </row>
    <row r="212" customFormat="false" ht="15" hidden="false" customHeight="true" outlineLevel="0" collapsed="false">
      <c r="A212" s="19" t="n">
        <f aca="false">Pipe_Tally!A212</f>
        <v>211</v>
      </c>
      <c r="B212" s="19" t="str">
        <f aca="false">Pipe_Tally!D212</f>
        <v>5in 19.50 ppf S-135 drill pipe</v>
      </c>
      <c r="C212" s="26" t="n">
        <f aca="false">Pipe_Tally!F212</f>
        <v>5</v>
      </c>
      <c r="D212" s="26" t="n">
        <f aca="false">Pipe_Tally!G212</f>
        <v>4.276</v>
      </c>
      <c r="E212" s="24" t="n">
        <f aca="false">Pipe_Tally!L212</f>
        <v>6028.14</v>
      </c>
      <c r="F212" s="24" t="n">
        <f aca="false">Pipe_Tally!M212</f>
        <v>6059.41</v>
      </c>
      <c r="G212" s="24" t="n">
        <f aca="false">MAX(0,MIN(F212,Well_Data!$B$10)-MAX(E212,Well_Data!$B$23))</f>
        <v>0</v>
      </c>
      <c r="H212" s="26" t="n">
        <f aca="false">G212*(Well_Data!$B$26^2-C212^2)/1029.4</f>
        <v>0</v>
      </c>
      <c r="I212" s="24" t="n">
        <f aca="false">MAX(0,MIN(F212,Well_Data!$B$23)-E212)</f>
        <v>31.2700000000004</v>
      </c>
      <c r="J212" s="26" t="n">
        <f aca="false">I212*(Well_Data!$B$25^2-C212^2)/1029.4</f>
        <v>1.52977436027785</v>
      </c>
      <c r="K212" s="25" t="n">
        <f aca="false">D212^2/1029.4</f>
        <v>0.0177619739654167</v>
      </c>
      <c r="L212" s="24" t="n">
        <f aca="false">F212-E212</f>
        <v>31.2700000000004</v>
      </c>
      <c r="M212" s="26" t="n">
        <f aca="false">K212*L212</f>
        <v>0.555416925898589</v>
      </c>
    </row>
    <row r="213" customFormat="false" ht="15" hidden="false" customHeight="true" outlineLevel="0" collapsed="false">
      <c r="A213" s="19" t="n">
        <f aca="false">Pipe_Tally!A213</f>
        <v>212</v>
      </c>
      <c r="B213" s="19" t="str">
        <f aca="false">Pipe_Tally!D213</f>
        <v>5in 19.50 ppf S-135 drill pipe</v>
      </c>
      <c r="C213" s="26" t="n">
        <f aca="false">Pipe_Tally!F213</f>
        <v>5</v>
      </c>
      <c r="D213" s="26" t="n">
        <f aca="false">Pipe_Tally!G213</f>
        <v>4.276</v>
      </c>
      <c r="E213" s="24" t="n">
        <f aca="false">Pipe_Tally!L213</f>
        <v>5996.83</v>
      </c>
      <c r="F213" s="24" t="n">
        <f aca="false">Pipe_Tally!M213</f>
        <v>6028.14</v>
      </c>
      <c r="G213" s="24" t="n">
        <f aca="false">MAX(0,MIN(F213,Well_Data!$B$10)-MAX(E213,Well_Data!$B$23))</f>
        <v>0</v>
      </c>
      <c r="H213" s="26" t="n">
        <f aca="false">G213*(Well_Data!$B$26^2-C213^2)/1029.4</f>
        <v>0</v>
      </c>
      <c r="I213" s="24" t="n">
        <f aca="false">MAX(0,MIN(F213,Well_Data!$B$23)-E213)</f>
        <v>31.3100000000004</v>
      </c>
      <c r="J213" s="26" t="n">
        <f aca="false">I213*(Well_Data!$B$25^2-C213^2)/1029.4</f>
        <v>1.53173121906938</v>
      </c>
      <c r="K213" s="25" t="n">
        <f aca="false">D213^2/1029.4</f>
        <v>0.0177619739654167</v>
      </c>
      <c r="L213" s="24" t="n">
        <f aca="false">F213-E213</f>
        <v>31.3100000000004</v>
      </c>
      <c r="M213" s="26" t="n">
        <f aca="false">K213*L213</f>
        <v>0.556127404857205</v>
      </c>
    </row>
    <row r="214" customFormat="false" ht="15" hidden="false" customHeight="true" outlineLevel="0" collapsed="false">
      <c r="A214" s="19" t="n">
        <f aca="false">Pipe_Tally!A214</f>
        <v>213</v>
      </c>
      <c r="B214" s="19" t="str">
        <f aca="false">Pipe_Tally!D214</f>
        <v>5in 19.50 ppf S-135 drill pipe</v>
      </c>
      <c r="C214" s="26" t="n">
        <f aca="false">Pipe_Tally!F214</f>
        <v>5</v>
      </c>
      <c r="D214" s="26" t="n">
        <f aca="false">Pipe_Tally!G214</f>
        <v>4.276</v>
      </c>
      <c r="E214" s="24" t="n">
        <f aca="false">Pipe_Tally!L214</f>
        <v>5965.35</v>
      </c>
      <c r="F214" s="24" t="n">
        <f aca="false">Pipe_Tally!M214</f>
        <v>5996.83</v>
      </c>
      <c r="G214" s="24" t="n">
        <f aca="false">MAX(0,MIN(F214,Well_Data!$B$10)-MAX(E214,Well_Data!$B$23))</f>
        <v>0</v>
      </c>
      <c r="H214" s="26" t="n">
        <f aca="false">G214*(Well_Data!$B$26^2-C214^2)/1029.4</f>
        <v>0</v>
      </c>
      <c r="I214" s="24" t="n">
        <f aca="false">MAX(0,MIN(F214,Well_Data!$B$23)-E214)</f>
        <v>31.4799999999996</v>
      </c>
      <c r="J214" s="26" t="n">
        <f aca="false">I214*(Well_Data!$B$25^2-C214^2)/1029.4</f>
        <v>1.54004786893334</v>
      </c>
      <c r="K214" s="25" t="n">
        <f aca="false">D214^2/1029.4</f>
        <v>0.0177619739654167</v>
      </c>
      <c r="L214" s="24" t="n">
        <f aca="false">F214-E214</f>
        <v>31.4799999999996</v>
      </c>
      <c r="M214" s="26" t="n">
        <f aca="false">K214*L214</f>
        <v>0.559146940431311</v>
      </c>
    </row>
    <row r="215" customFormat="false" ht="15" hidden="false" customHeight="true" outlineLevel="0" collapsed="false">
      <c r="A215" s="19" t="n">
        <f aca="false">Pipe_Tally!A215</f>
        <v>214</v>
      </c>
      <c r="B215" s="19" t="str">
        <f aca="false">Pipe_Tally!D215</f>
        <v>5in 19.50 ppf S-135 drill pipe</v>
      </c>
      <c r="C215" s="26" t="n">
        <f aca="false">Pipe_Tally!F215</f>
        <v>5</v>
      </c>
      <c r="D215" s="26" t="n">
        <f aca="false">Pipe_Tally!G215</f>
        <v>4.276</v>
      </c>
      <c r="E215" s="24" t="n">
        <f aca="false">Pipe_Tally!L215</f>
        <v>5934.5</v>
      </c>
      <c r="F215" s="24" t="n">
        <f aca="false">Pipe_Tally!M215</f>
        <v>5965.35</v>
      </c>
      <c r="G215" s="24" t="n">
        <f aca="false">MAX(0,MIN(F215,Well_Data!$B$10)-MAX(E215,Well_Data!$B$23))</f>
        <v>0</v>
      </c>
      <c r="H215" s="26" t="n">
        <f aca="false">G215*(Well_Data!$B$26^2-C215^2)/1029.4</f>
        <v>0</v>
      </c>
      <c r="I215" s="24" t="n">
        <f aca="false">MAX(0,MIN(F215,Well_Data!$B$23)-E215)</f>
        <v>30.8500000000004</v>
      </c>
      <c r="J215" s="26" t="n">
        <f aca="false">I215*(Well_Data!$B$25^2-C215^2)/1029.4</f>
        <v>1.50922734296679</v>
      </c>
      <c r="K215" s="25" t="n">
        <f aca="false">D215^2/1029.4</f>
        <v>0.0177619739654167</v>
      </c>
      <c r="L215" s="24" t="n">
        <f aca="false">F215-E215</f>
        <v>30.8500000000004</v>
      </c>
      <c r="M215" s="26" t="n">
        <f aca="false">K215*L215</f>
        <v>0.547956896833113</v>
      </c>
    </row>
    <row r="216" customFormat="false" ht="15" hidden="false" customHeight="true" outlineLevel="0" collapsed="false">
      <c r="A216" s="19" t="n">
        <f aca="false">Pipe_Tally!A216</f>
        <v>215</v>
      </c>
      <c r="B216" s="19" t="str">
        <f aca="false">Pipe_Tally!D216</f>
        <v>5in 19.50 ppf S-135 drill pipe</v>
      </c>
      <c r="C216" s="26" t="n">
        <f aca="false">Pipe_Tally!F216</f>
        <v>5</v>
      </c>
      <c r="D216" s="26" t="n">
        <f aca="false">Pipe_Tally!G216</f>
        <v>4.276</v>
      </c>
      <c r="E216" s="24" t="n">
        <f aca="false">Pipe_Tally!L216</f>
        <v>5903.26</v>
      </c>
      <c r="F216" s="24" t="n">
        <f aca="false">Pipe_Tally!M216</f>
        <v>5934.5</v>
      </c>
      <c r="G216" s="24" t="n">
        <f aca="false">MAX(0,MIN(F216,Well_Data!$B$10)-MAX(E216,Well_Data!$B$23))</f>
        <v>0</v>
      </c>
      <c r="H216" s="26" t="n">
        <f aca="false">G216*(Well_Data!$B$26^2-C216^2)/1029.4</f>
        <v>0</v>
      </c>
      <c r="I216" s="24" t="n">
        <f aca="false">MAX(0,MIN(F216,Well_Data!$B$23)-E216)</f>
        <v>31.2399999999998</v>
      </c>
      <c r="J216" s="26" t="n">
        <f aca="false">I216*(Well_Data!$B$25^2-C216^2)/1029.4</f>
        <v>1.52830671618417</v>
      </c>
      <c r="K216" s="25" t="n">
        <f aca="false">D216^2/1029.4</f>
        <v>0.0177619739654167</v>
      </c>
      <c r="L216" s="24" t="n">
        <f aca="false">F216-E216</f>
        <v>31.2399999999998</v>
      </c>
      <c r="M216" s="26" t="n">
        <f aca="false">K216*L216</f>
        <v>0.554884066679615</v>
      </c>
    </row>
    <row r="217" customFormat="false" ht="15" hidden="false" customHeight="true" outlineLevel="0" collapsed="false">
      <c r="A217" s="19" t="n">
        <f aca="false">Pipe_Tally!A217</f>
        <v>216</v>
      </c>
      <c r="B217" s="19" t="str">
        <f aca="false">Pipe_Tally!D217</f>
        <v>5in 19.50 ppf S-135 drill pipe</v>
      </c>
      <c r="C217" s="26" t="n">
        <f aca="false">Pipe_Tally!F217</f>
        <v>5</v>
      </c>
      <c r="D217" s="26" t="n">
        <f aca="false">Pipe_Tally!G217</f>
        <v>4.276</v>
      </c>
      <c r="E217" s="24" t="n">
        <f aca="false">Pipe_Tally!L217</f>
        <v>5872.21</v>
      </c>
      <c r="F217" s="24" t="n">
        <f aca="false">Pipe_Tally!M217</f>
        <v>5903.26</v>
      </c>
      <c r="G217" s="24" t="n">
        <f aca="false">MAX(0,MIN(F217,Well_Data!$B$10)-MAX(E217,Well_Data!$B$23))</f>
        <v>0</v>
      </c>
      <c r="H217" s="26" t="n">
        <f aca="false">G217*(Well_Data!$B$26^2-C217^2)/1029.4</f>
        <v>0</v>
      </c>
      <c r="I217" s="24" t="n">
        <f aca="false">MAX(0,MIN(F217,Well_Data!$B$23)-E217)</f>
        <v>31.0500000000002</v>
      </c>
      <c r="J217" s="26" t="n">
        <f aca="false">I217*(Well_Data!$B$25^2-C217^2)/1029.4</f>
        <v>1.51901163692443</v>
      </c>
      <c r="K217" s="25" t="n">
        <f aca="false">D217^2/1029.4</f>
        <v>0.0177619739654167</v>
      </c>
      <c r="L217" s="24" t="n">
        <f aca="false">F217-E217</f>
        <v>31.0500000000002</v>
      </c>
      <c r="M217" s="26" t="n">
        <f aca="false">K217*L217</f>
        <v>0.551509291626193</v>
      </c>
    </row>
    <row r="218" customFormat="false" ht="15" hidden="false" customHeight="true" outlineLevel="0" collapsed="false">
      <c r="A218" s="19" t="n">
        <f aca="false">Pipe_Tally!A218</f>
        <v>217</v>
      </c>
      <c r="B218" s="19" t="str">
        <f aca="false">Pipe_Tally!D218</f>
        <v>5in 19.50 ppf S-135 drill pipe</v>
      </c>
      <c r="C218" s="26" t="n">
        <f aca="false">Pipe_Tally!F218</f>
        <v>5</v>
      </c>
      <c r="D218" s="26" t="n">
        <f aca="false">Pipe_Tally!G218</f>
        <v>4.276</v>
      </c>
      <c r="E218" s="24" t="n">
        <f aca="false">Pipe_Tally!L218</f>
        <v>5841.17</v>
      </c>
      <c r="F218" s="24" t="n">
        <f aca="false">Pipe_Tally!M218</f>
        <v>5872.21</v>
      </c>
      <c r="G218" s="24" t="n">
        <f aca="false">MAX(0,MIN(F218,Well_Data!$B$10)-MAX(E218,Well_Data!$B$23))</f>
        <v>0</v>
      </c>
      <c r="H218" s="26" t="n">
        <f aca="false">G218*(Well_Data!$B$26^2-C218^2)/1029.4</f>
        <v>0</v>
      </c>
      <c r="I218" s="24" t="n">
        <f aca="false">MAX(0,MIN(F218,Well_Data!$B$23)-E218)</f>
        <v>31.04</v>
      </c>
      <c r="J218" s="26" t="n">
        <f aca="false">I218*(Well_Data!$B$25^2-C218^2)/1029.4</f>
        <v>1.51852242222654</v>
      </c>
      <c r="K218" s="25" t="n">
        <f aca="false">D218^2/1029.4</f>
        <v>0.0177619739654167</v>
      </c>
      <c r="L218" s="24" t="n">
        <f aca="false">F218-E218</f>
        <v>31.04</v>
      </c>
      <c r="M218" s="26" t="n">
        <f aca="false">K218*L218</f>
        <v>0.551331671886535</v>
      </c>
    </row>
    <row r="219" customFormat="false" ht="15" hidden="false" customHeight="true" outlineLevel="0" collapsed="false">
      <c r="A219" s="19" t="n">
        <f aca="false">Pipe_Tally!A219</f>
        <v>218</v>
      </c>
      <c r="B219" s="19" t="str">
        <f aca="false">Pipe_Tally!D219</f>
        <v>5in 19.50 ppf S-135 drill pipe</v>
      </c>
      <c r="C219" s="26" t="n">
        <f aca="false">Pipe_Tally!F219</f>
        <v>5</v>
      </c>
      <c r="D219" s="26" t="n">
        <f aca="false">Pipe_Tally!G219</f>
        <v>4.276</v>
      </c>
      <c r="E219" s="24" t="n">
        <f aca="false">Pipe_Tally!L219</f>
        <v>5810.07</v>
      </c>
      <c r="F219" s="24" t="n">
        <f aca="false">Pipe_Tally!M219</f>
        <v>5841.17</v>
      </c>
      <c r="G219" s="24" t="n">
        <f aca="false">MAX(0,MIN(F219,Well_Data!$B$10)-MAX(E219,Well_Data!$B$23))</f>
        <v>0</v>
      </c>
      <c r="H219" s="26" t="n">
        <f aca="false">G219*(Well_Data!$B$26^2-C219^2)/1029.4</f>
        <v>0</v>
      </c>
      <c r="I219" s="24" t="n">
        <f aca="false">MAX(0,MIN(F219,Well_Data!$B$23)-E219)</f>
        <v>31.1000000000004</v>
      </c>
      <c r="J219" s="26" t="n">
        <f aca="false">I219*(Well_Data!$B$25^2-C219^2)/1029.4</f>
        <v>1.52145771041385</v>
      </c>
      <c r="K219" s="25" t="n">
        <f aca="false">D219^2/1029.4</f>
        <v>0.0177619739654167</v>
      </c>
      <c r="L219" s="24" t="n">
        <f aca="false">F219-E219</f>
        <v>31.1000000000004</v>
      </c>
      <c r="M219" s="26" t="n">
        <f aca="false">K219*L219</f>
        <v>0.552397390324467</v>
      </c>
    </row>
    <row r="220" customFormat="false" ht="15" hidden="false" customHeight="true" outlineLevel="0" collapsed="false">
      <c r="A220" s="19" t="n">
        <f aca="false">Pipe_Tally!A220</f>
        <v>219</v>
      </c>
      <c r="B220" s="19" t="str">
        <f aca="false">Pipe_Tally!D220</f>
        <v>5in 19.50 ppf S-135 drill pipe</v>
      </c>
      <c r="C220" s="26" t="n">
        <f aca="false">Pipe_Tally!F220</f>
        <v>5</v>
      </c>
      <c r="D220" s="26" t="n">
        <f aca="false">Pipe_Tally!G220</f>
        <v>4.276</v>
      </c>
      <c r="E220" s="24" t="n">
        <f aca="false">Pipe_Tally!L220</f>
        <v>5778.9</v>
      </c>
      <c r="F220" s="24" t="n">
        <f aca="false">Pipe_Tally!M220</f>
        <v>5810.07</v>
      </c>
      <c r="G220" s="24" t="n">
        <f aca="false">MAX(0,MIN(F220,Well_Data!$B$10)-MAX(E220,Well_Data!$B$23))</f>
        <v>0</v>
      </c>
      <c r="H220" s="26" t="n">
        <f aca="false">G220*(Well_Data!$B$26^2-C220^2)/1029.4</f>
        <v>0</v>
      </c>
      <c r="I220" s="24" t="n">
        <f aca="false">MAX(0,MIN(F220,Well_Data!$B$23)-E220)</f>
        <v>31.1700000000001</v>
      </c>
      <c r="J220" s="26" t="n">
        <f aca="false">I220*(Well_Data!$B$25^2-C220^2)/1029.4</f>
        <v>1.52488221329901</v>
      </c>
      <c r="K220" s="25" t="n">
        <f aca="false">D220^2/1029.4</f>
        <v>0.0177619739654167</v>
      </c>
      <c r="L220" s="24" t="n">
        <f aca="false">F220-E220</f>
        <v>31.1700000000001</v>
      </c>
      <c r="M220" s="26" t="n">
        <f aca="false">K220*L220</f>
        <v>0.553640728502041</v>
      </c>
    </row>
    <row r="221" customFormat="false" ht="15" hidden="false" customHeight="true" outlineLevel="0" collapsed="false">
      <c r="A221" s="19" t="n">
        <f aca="false">Pipe_Tally!A221</f>
        <v>220</v>
      </c>
      <c r="B221" s="19" t="str">
        <f aca="false">Pipe_Tally!D221</f>
        <v>5in 19.50 ppf S-135 drill pipe</v>
      </c>
      <c r="C221" s="26" t="n">
        <f aca="false">Pipe_Tally!F221</f>
        <v>5</v>
      </c>
      <c r="D221" s="26" t="n">
        <f aca="false">Pipe_Tally!G221</f>
        <v>4.276</v>
      </c>
      <c r="E221" s="24" t="n">
        <f aca="false">Pipe_Tally!L221</f>
        <v>5747.83</v>
      </c>
      <c r="F221" s="24" t="n">
        <f aca="false">Pipe_Tally!M221</f>
        <v>5778.9</v>
      </c>
      <c r="G221" s="24" t="n">
        <f aca="false">MAX(0,MIN(F221,Well_Data!$B$10)-MAX(E221,Well_Data!$B$23))</f>
        <v>0</v>
      </c>
      <c r="H221" s="26" t="n">
        <f aca="false">G221*(Well_Data!$B$26^2-C221^2)/1029.4</f>
        <v>0</v>
      </c>
      <c r="I221" s="24" t="n">
        <f aca="false">MAX(0,MIN(F221,Well_Data!$B$23)-E221)</f>
        <v>31.0699999999997</v>
      </c>
      <c r="J221" s="26" t="n">
        <f aca="false">I221*(Well_Data!$B$25^2-C221^2)/1029.4</f>
        <v>1.51999006632017</v>
      </c>
      <c r="K221" s="25" t="n">
        <f aca="false">D221^2/1029.4</f>
        <v>0.0177619739654167</v>
      </c>
      <c r="L221" s="24" t="n">
        <f aca="false">F221-E221</f>
        <v>31.0699999999997</v>
      </c>
      <c r="M221" s="26" t="n">
        <f aca="false">K221*L221</f>
        <v>0.551864531105493</v>
      </c>
    </row>
    <row r="222" customFormat="false" ht="15" hidden="false" customHeight="true" outlineLevel="0" collapsed="false">
      <c r="A222" s="19" t="n">
        <f aca="false">Pipe_Tally!A222</f>
        <v>221</v>
      </c>
      <c r="B222" s="19" t="str">
        <f aca="false">Pipe_Tally!D222</f>
        <v>5in 19.50 ppf S-135 drill pipe</v>
      </c>
      <c r="C222" s="26" t="n">
        <f aca="false">Pipe_Tally!F222</f>
        <v>5</v>
      </c>
      <c r="D222" s="26" t="n">
        <f aca="false">Pipe_Tally!G222</f>
        <v>4.276</v>
      </c>
      <c r="E222" s="24" t="n">
        <f aca="false">Pipe_Tally!L222</f>
        <v>5716.91</v>
      </c>
      <c r="F222" s="24" t="n">
        <f aca="false">Pipe_Tally!M222</f>
        <v>5747.83</v>
      </c>
      <c r="G222" s="24" t="n">
        <f aca="false">MAX(0,MIN(F222,Well_Data!$B$10)-MAX(E222,Well_Data!$B$23))</f>
        <v>0</v>
      </c>
      <c r="H222" s="26" t="n">
        <f aca="false">G222*(Well_Data!$B$26^2-C222^2)/1029.4</f>
        <v>0</v>
      </c>
      <c r="I222" s="24" t="n">
        <f aca="false">MAX(0,MIN(F222,Well_Data!$B$23)-E222)</f>
        <v>30.9200000000001</v>
      </c>
      <c r="J222" s="26" t="n">
        <f aca="false">I222*(Well_Data!$B$25^2-C222^2)/1029.4</f>
        <v>1.51265184585196</v>
      </c>
      <c r="K222" s="25" t="n">
        <f aca="false">D222^2/1029.4</f>
        <v>0.0177619739654167</v>
      </c>
      <c r="L222" s="24" t="n">
        <f aca="false">F222-E222</f>
        <v>30.9200000000001</v>
      </c>
      <c r="M222" s="26" t="n">
        <f aca="false">K222*L222</f>
        <v>0.549200235010687</v>
      </c>
    </row>
    <row r="223" customFormat="false" ht="15" hidden="false" customHeight="true" outlineLevel="0" collapsed="false">
      <c r="A223" s="19" t="n">
        <f aca="false">Pipe_Tally!A223</f>
        <v>222</v>
      </c>
      <c r="B223" s="19" t="str">
        <f aca="false">Pipe_Tally!D223</f>
        <v>5in 19.50 ppf S-135 drill pipe</v>
      </c>
      <c r="C223" s="26" t="n">
        <f aca="false">Pipe_Tally!F223</f>
        <v>5</v>
      </c>
      <c r="D223" s="26" t="n">
        <f aca="false">Pipe_Tally!G223</f>
        <v>4.276</v>
      </c>
      <c r="E223" s="24" t="n">
        <f aca="false">Pipe_Tally!L223</f>
        <v>5685.62</v>
      </c>
      <c r="F223" s="24" t="n">
        <f aca="false">Pipe_Tally!M223</f>
        <v>5716.91</v>
      </c>
      <c r="G223" s="24" t="n">
        <f aca="false">MAX(0,MIN(F223,Well_Data!$B$10)-MAX(E223,Well_Data!$B$23))</f>
        <v>0</v>
      </c>
      <c r="H223" s="26" t="n">
        <f aca="false">G223*(Well_Data!$B$26^2-C223^2)/1029.4</f>
        <v>0</v>
      </c>
      <c r="I223" s="24" t="n">
        <f aca="false">MAX(0,MIN(F223,Well_Data!$B$23)-E223)</f>
        <v>31.29</v>
      </c>
      <c r="J223" s="26" t="n">
        <f aca="false">I223*(Well_Data!$B$25^2-C223^2)/1029.4</f>
        <v>1.53075278967359</v>
      </c>
      <c r="K223" s="25" t="n">
        <f aca="false">D223^2/1029.4</f>
        <v>0.0177619739654167</v>
      </c>
      <c r="L223" s="24" t="n">
        <f aca="false">F223-E223</f>
        <v>31.29</v>
      </c>
      <c r="M223" s="26" t="n">
        <f aca="false">K223*L223</f>
        <v>0.555772165377889</v>
      </c>
    </row>
    <row r="224" customFormat="false" ht="15" hidden="false" customHeight="true" outlineLevel="0" collapsed="false">
      <c r="A224" s="19" t="n">
        <f aca="false">Pipe_Tally!A224</f>
        <v>223</v>
      </c>
      <c r="B224" s="19" t="str">
        <f aca="false">Pipe_Tally!D224</f>
        <v>5in 19.50 ppf S-135 drill pipe</v>
      </c>
      <c r="C224" s="26" t="n">
        <f aca="false">Pipe_Tally!F224</f>
        <v>5</v>
      </c>
      <c r="D224" s="26" t="n">
        <f aca="false">Pipe_Tally!G224</f>
        <v>4.276</v>
      </c>
      <c r="E224" s="24" t="n">
        <f aca="false">Pipe_Tally!L224</f>
        <v>5654.24</v>
      </c>
      <c r="F224" s="24" t="n">
        <f aca="false">Pipe_Tally!M224</f>
        <v>5685.62</v>
      </c>
      <c r="G224" s="24" t="n">
        <f aca="false">MAX(0,MIN(F224,Well_Data!$B$10)-MAX(E224,Well_Data!$B$23))</f>
        <v>0</v>
      </c>
      <c r="H224" s="26" t="n">
        <f aca="false">G224*(Well_Data!$B$26^2-C224^2)/1029.4</f>
        <v>0</v>
      </c>
      <c r="I224" s="24" t="n">
        <f aca="false">MAX(0,MIN(F224,Well_Data!$B$23)-E224)</f>
        <v>31.3800000000001</v>
      </c>
      <c r="J224" s="26" t="n">
        <f aca="false">I224*(Well_Data!$B$25^2-C224^2)/1029.4</f>
        <v>1.53515572195454</v>
      </c>
      <c r="K224" s="25" t="n">
        <f aca="false">D224^2/1029.4</f>
        <v>0.0177619739654167</v>
      </c>
      <c r="L224" s="24" t="n">
        <f aca="false">F224-E224</f>
        <v>31.3800000000001</v>
      </c>
      <c r="M224" s="26" t="n">
        <f aca="false">K224*L224</f>
        <v>0.557370743034779</v>
      </c>
    </row>
    <row r="225" customFormat="false" ht="15" hidden="false" customHeight="true" outlineLevel="0" collapsed="false">
      <c r="A225" s="19" t="n">
        <f aca="false">Pipe_Tally!A225</f>
        <v>224</v>
      </c>
      <c r="B225" s="19" t="str">
        <f aca="false">Pipe_Tally!D225</f>
        <v>5in 19.50 ppf S-135 drill pipe</v>
      </c>
      <c r="C225" s="26" t="n">
        <f aca="false">Pipe_Tally!F225</f>
        <v>5</v>
      </c>
      <c r="D225" s="26" t="n">
        <f aca="false">Pipe_Tally!G225</f>
        <v>4.276</v>
      </c>
      <c r="E225" s="24" t="n">
        <f aca="false">Pipe_Tally!L225</f>
        <v>5623.44</v>
      </c>
      <c r="F225" s="24" t="n">
        <f aca="false">Pipe_Tally!M225</f>
        <v>5654.24</v>
      </c>
      <c r="G225" s="24" t="n">
        <f aca="false">MAX(0,MIN(F225,Well_Data!$B$10)-MAX(E225,Well_Data!$B$23))</f>
        <v>0</v>
      </c>
      <c r="H225" s="26" t="n">
        <f aca="false">G225*(Well_Data!$B$26^2-C225^2)/1029.4</f>
        <v>0</v>
      </c>
      <c r="I225" s="24" t="n">
        <f aca="false">MAX(0,MIN(F225,Well_Data!$B$23)-E225)</f>
        <v>30.8000000000002</v>
      </c>
      <c r="J225" s="26" t="n">
        <f aca="false">I225*(Well_Data!$B$25^2-C225^2)/1029.4</f>
        <v>1.50678126947737</v>
      </c>
      <c r="K225" s="25" t="n">
        <f aca="false">D225^2/1029.4</f>
        <v>0.0177619739654167</v>
      </c>
      <c r="L225" s="24" t="n">
        <f aca="false">F225-E225</f>
        <v>30.8000000000002</v>
      </c>
      <c r="M225" s="26" t="n">
        <f aca="false">K225*L225</f>
        <v>0.547068798134839</v>
      </c>
    </row>
    <row r="226" customFormat="false" ht="15" hidden="false" customHeight="true" outlineLevel="0" collapsed="false">
      <c r="A226" s="19" t="n">
        <f aca="false">Pipe_Tally!A226</f>
        <v>225</v>
      </c>
      <c r="B226" s="19" t="str">
        <f aca="false">Pipe_Tally!D226</f>
        <v>5in 19.50 ppf S-135 drill pipe</v>
      </c>
      <c r="C226" s="26" t="n">
        <f aca="false">Pipe_Tally!F226</f>
        <v>5</v>
      </c>
      <c r="D226" s="26" t="n">
        <f aca="false">Pipe_Tally!G226</f>
        <v>4.276</v>
      </c>
      <c r="E226" s="24" t="n">
        <f aca="false">Pipe_Tally!L226</f>
        <v>5592.53</v>
      </c>
      <c r="F226" s="24" t="n">
        <f aca="false">Pipe_Tally!M226</f>
        <v>5623.44</v>
      </c>
      <c r="G226" s="24" t="n">
        <f aca="false">MAX(0,MIN(F226,Well_Data!$B$10)-MAX(E226,Well_Data!$B$23))</f>
        <v>0</v>
      </c>
      <c r="H226" s="26" t="n">
        <f aca="false">G226*(Well_Data!$B$26^2-C226^2)/1029.4</f>
        <v>0</v>
      </c>
      <c r="I226" s="24" t="n">
        <f aca="false">MAX(0,MIN(F226,Well_Data!$B$23)-E226)</f>
        <v>30.9099999999999</v>
      </c>
      <c r="J226" s="26" t="n">
        <f aca="false">I226*(Well_Data!$B$25^2-C226^2)/1029.4</f>
        <v>1.51216263115406</v>
      </c>
      <c r="K226" s="25" t="n">
        <f aca="false">D226^2/1029.4</f>
        <v>0.0177619739654167</v>
      </c>
      <c r="L226" s="24" t="n">
        <f aca="false">F226-E226</f>
        <v>30.9099999999999</v>
      </c>
      <c r="M226" s="26" t="n">
        <f aca="false">K226*L226</f>
        <v>0.549022615271029</v>
      </c>
    </row>
    <row r="227" customFormat="false" ht="15" hidden="false" customHeight="true" outlineLevel="0" collapsed="false">
      <c r="A227" s="19" t="n">
        <f aca="false">Pipe_Tally!A227</f>
        <v>226</v>
      </c>
      <c r="B227" s="19" t="str">
        <f aca="false">Pipe_Tally!D227</f>
        <v>5in 19.50 ppf S-135 drill pipe</v>
      </c>
      <c r="C227" s="26" t="n">
        <f aca="false">Pipe_Tally!F227</f>
        <v>5</v>
      </c>
      <c r="D227" s="26" t="n">
        <f aca="false">Pipe_Tally!G227</f>
        <v>4.276</v>
      </c>
      <c r="E227" s="24" t="n">
        <f aca="false">Pipe_Tally!L227</f>
        <v>5561.16</v>
      </c>
      <c r="F227" s="24" t="n">
        <f aca="false">Pipe_Tally!M227</f>
        <v>5592.53</v>
      </c>
      <c r="G227" s="24" t="n">
        <f aca="false">MAX(0,MIN(F227,Well_Data!$B$10)-MAX(E227,Well_Data!$B$23))</f>
        <v>0</v>
      </c>
      <c r="H227" s="26" t="n">
        <f aca="false">G227*(Well_Data!$B$26^2-C227^2)/1029.4</f>
        <v>0</v>
      </c>
      <c r="I227" s="24" t="n">
        <f aca="false">MAX(0,MIN(F227,Well_Data!$B$23)-E227)</f>
        <v>31.3699999999999</v>
      </c>
      <c r="J227" s="26" t="n">
        <f aca="false">I227*(Well_Data!$B$25^2-C227^2)/1029.4</f>
        <v>1.53466650725665</v>
      </c>
      <c r="K227" s="25" t="n">
        <f aca="false">D227^2/1029.4</f>
        <v>0.0177619739654167</v>
      </c>
      <c r="L227" s="24" t="n">
        <f aca="false">F227-E227</f>
        <v>31.3699999999999</v>
      </c>
      <c r="M227" s="26" t="n">
        <f aca="false">K227*L227</f>
        <v>0.557193123295121</v>
      </c>
    </row>
    <row r="228" customFormat="false" ht="15" hidden="false" customHeight="true" outlineLevel="0" collapsed="false">
      <c r="A228" s="19" t="n">
        <f aca="false">Pipe_Tally!A228</f>
        <v>227</v>
      </c>
      <c r="B228" s="19" t="str">
        <f aca="false">Pipe_Tally!D228</f>
        <v>5in 19.50 ppf S-135 drill pipe</v>
      </c>
      <c r="C228" s="26" t="n">
        <f aca="false">Pipe_Tally!F228</f>
        <v>5</v>
      </c>
      <c r="D228" s="26" t="n">
        <f aca="false">Pipe_Tally!G228</f>
        <v>4.276</v>
      </c>
      <c r="E228" s="24" t="n">
        <f aca="false">Pipe_Tally!L228</f>
        <v>5529.98</v>
      </c>
      <c r="F228" s="24" t="n">
        <f aca="false">Pipe_Tally!M228</f>
        <v>5561.16</v>
      </c>
      <c r="G228" s="24" t="n">
        <f aca="false">MAX(0,MIN(F228,Well_Data!$B$10)-MAX(E228,Well_Data!$B$23))</f>
        <v>0</v>
      </c>
      <c r="H228" s="26" t="n">
        <f aca="false">G228*(Well_Data!$B$26^2-C228^2)/1029.4</f>
        <v>0</v>
      </c>
      <c r="I228" s="24" t="n">
        <f aca="false">MAX(0,MIN(F228,Well_Data!$B$23)-E228)</f>
        <v>31.1800000000003</v>
      </c>
      <c r="J228" s="26" t="n">
        <f aca="false">I228*(Well_Data!$B$25^2-C228^2)/1029.4</f>
        <v>1.52537142799691</v>
      </c>
      <c r="K228" s="25" t="n">
        <f aca="false">D228^2/1029.4</f>
        <v>0.0177619739654167</v>
      </c>
      <c r="L228" s="24" t="n">
        <f aca="false">F228-E228</f>
        <v>31.1800000000003</v>
      </c>
      <c r="M228" s="26" t="n">
        <f aca="false">K228*L228</f>
        <v>0.553818348241699</v>
      </c>
    </row>
    <row r="229" customFormat="false" ht="15" hidden="false" customHeight="true" outlineLevel="0" collapsed="false">
      <c r="A229" s="19" t="n">
        <f aca="false">Pipe_Tally!A229</f>
        <v>228</v>
      </c>
      <c r="B229" s="19" t="str">
        <f aca="false">Pipe_Tally!D229</f>
        <v>5in 19.50 ppf S-135 drill pipe</v>
      </c>
      <c r="C229" s="26" t="n">
        <f aca="false">Pipe_Tally!F229</f>
        <v>5</v>
      </c>
      <c r="D229" s="26" t="n">
        <f aca="false">Pipe_Tally!G229</f>
        <v>4.276</v>
      </c>
      <c r="E229" s="24" t="n">
        <f aca="false">Pipe_Tally!L229</f>
        <v>5498.56</v>
      </c>
      <c r="F229" s="24" t="n">
        <f aca="false">Pipe_Tally!M229</f>
        <v>5529.98</v>
      </c>
      <c r="G229" s="24" t="n">
        <f aca="false">MAX(0,MIN(F229,Well_Data!$B$10)-MAX(E229,Well_Data!$B$23))</f>
        <v>0</v>
      </c>
      <c r="H229" s="26" t="n">
        <f aca="false">G229*(Well_Data!$B$26^2-C229^2)/1029.4</f>
        <v>0</v>
      </c>
      <c r="I229" s="24" t="n">
        <f aca="false">MAX(0,MIN(F229,Well_Data!$B$23)-E229)</f>
        <v>31.4200000000001</v>
      </c>
      <c r="J229" s="26" t="n">
        <f aca="false">I229*(Well_Data!$B$25^2-C229^2)/1029.4</f>
        <v>1.53711258074607</v>
      </c>
      <c r="K229" s="25" t="n">
        <f aca="false">D229^2/1029.4</f>
        <v>0.0177619739654167</v>
      </c>
      <c r="L229" s="24" t="n">
        <f aca="false">F229-E229</f>
        <v>31.4200000000001</v>
      </c>
      <c r="M229" s="26" t="n">
        <f aca="false">K229*L229</f>
        <v>0.558081221993395</v>
      </c>
    </row>
    <row r="230" customFormat="false" ht="15" hidden="false" customHeight="true" outlineLevel="0" collapsed="false">
      <c r="A230" s="19" t="n">
        <f aca="false">Pipe_Tally!A230</f>
        <v>229</v>
      </c>
      <c r="B230" s="19" t="str">
        <f aca="false">Pipe_Tally!D230</f>
        <v>5in 19.50 ppf S-135 drill pipe</v>
      </c>
      <c r="C230" s="26" t="n">
        <f aca="false">Pipe_Tally!F230</f>
        <v>5</v>
      </c>
      <c r="D230" s="26" t="n">
        <f aca="false">Pipe_Tally!G230</f>
        <v>4.276</v>
      </c>
      <c r="E230" s="24" t="n">
        <f aca="false">Pipe_Tally!L230</f>
        <v>5467.14</v>
      </c>
      <c r="F230" s="24" t="n">
        <f aca="false">Pipe_Tally!M230</f>
        <v>5498.56</v>
      </c>
      <c r="G230" s="24" t="n">
        <f aca="false">MAX(0,MIN(F230,Well_Data!$B$10)-MAX(E230,Well_Data!$B$23))</f>
        <v>0</v>
      </c>
      <c r="H230" s="26" t="n">
        <f aca="false">G230*(Well_Data!$B$26^2-C230^2)/1029.4</f>
        <v>0</v>
      </c>
      <c r="I230" s="24" t="n">
        <f aca="false">MAX(0,MIN(F230,Well_Data!$B$23)-E230)</f>
        <v>31.4200000000001</v>
      </c>
      <c r="J230" s="26" t="n">
        <f aca="false">I230*(Well_Data!$B$25^2-C230^2)/1029.4</f>
        <v>1.53711258074607</v>
      </c>
      <c r="K230" s="25" t="n">
        <f aca="false">D230^2/1029.4</f>
        <v>0.0177619739654167</v>
      </c>
      <c r="L230" s="24" t="n">
        <f aca="false">F230-E230</f>
        <v>31.4200000000001</v>
      </c>
      <c r="M230" s="26" t="n">
        <f aca="false">K230*L230</f>
        <v>0.558081221993395</v>
      </c>
    </row>
    <row r="231" customFormat="false" ht="15" hidden="false" customHeight="true" outlineLevel="0" collapsed="false">
      <c r="A231" s="19" t="n">
        <f aca="false">Pipe_Tally!A231</f>
        <v>230</v>
      </c>
      <c r="B231" s="19" t="str">
        <f aca="false">Pipe_Tally!D231</f>
        <v>5in 19.50 ppf S-135 drill pipe</v>
      </c>
      <c r="C231" s="26" t="n">
        <f aca="false">Pipe_Tally!F231</f>
        <v>5</v>
      </c>
      <c r="D231" s="26" t="n">
        <f aca="false">Pipe_Tally!G231</f>
        <v>4.276</v>
      </c>
      <c r="E231" s="24" t="n">
        <f aca="false">Pipe_Tally!L231</f>
        <v>5435.79</v>
      </c>
      <c r="F231" s="24" t="n">
        <f aca="false">Pipe_Tally!M231</f>
        <v>5467.14</v>
      </c>
      <c r="G231" s="24" t="n">
        <f aca="false">MAX(0,MIN(F231,Well_Data!$B$10)-MAX(E231,Well_Data!$B$23))</f>
        <v>0</v>
      </c>
      <c r="H231" s="26" t="n">
        <f aca="false">G231*(Well_Data!$B$26^2-C231^2)/1029.4</f>
        <v>0</v>
      </c>
      <c r="I231" s="24" t="n">
        <f aca="false">MAX(0,MIN(F231,Well_Data!$B$23)-E231)</f>
        <v>31.3500000000004</v>
      </c>
      <c r="J231" s="26" t="n">
        <f aca="false">I231*(Well_Data!$B$25^2-C231^2)/1029.4</f>
        <v>1.53368807786091</v>
      </c>
      <c r="K231" s="25" t="n">
        <f aca="false">D231^2/1029.4</f>
        <v>0.0177619739654167</v>
      </c>
      <c r="L231" s="24" t="n">
        <f aca="false">F231-E231</f>
        <v>31.3500000000004</v>
      </c>
      <c r="M231" s="26" t="n">
        <f aca="false">K231*L231</f>
        <v>0.556837883815821</v>
      </c>
    </row>
    <row r="232" customFormat="false" ht="15" hidden="false" customHeight="true" outlineLevel="0" collapsed="false">
      <c r="A232" s="19" t="n">
        <f aca="false">Pipe_Tally!A232</f>
        <v>231</v>
      </c>
      <c r="B232" s="19" t="str">
        <f aca="false">Pipe_Tally!D232</f>
        <v>5in 19.50 ppf S-135 drill pipe</v>
      </c>
      <c r="C232" s="26" t="n">
        <f aca="false">Pipe_Tally!F232</f>
        <v>5</v>
      </c>
      <c r="D232" s="26" t="n">
        <f aca="false">Pipe_Tally!G232</f>
        <v>4.276</v>
      </c>
      <c r="E232" s="24" t="n">
        <f aca="false">Pipe_Tally!L232</f>
        <v>5404.63</v>
      </c>
      <c r="F232" s="24" t="n">
        <f aca="false">Pipe_Tally!M232</f>
        <v>5435.79</v>
      </c>
      <c r="G232" s="24" t="n">
        <f aca="false">MAX(0,MIN(F232,Well_Data!$B$10)-MAX(E232,Well_Data!$B$23))</f>
        <v>0</v>
      </c>
      <c r="H232" s="26" t="n">
        <f aca="false">G232*(Well_Data!$B$26^2-C232^2)/1029.4</f>
        <v>0</v>
      </c>
      <c r="I232" s="24" t="n">
        <f aca="false">MAX(0,MIN(F232,Well_Data!$B$23)-E232)</f>
        <v>31.1599999999999</v>
      </c>
      <c r="J232" s="26" t="n">
        <f aca="false">I232*(Well_Data!$B$25^2-C232^2)/1029.4</f>
        <v>1.52439299860112</v>
      </c>
      <c r="K232" s="25" t="n">
        <f aca="false">D232^2/1029.4</f>
        <v>0.0177619739654167</v>
      </c>
      <c r="L232" s="24" t="n">
        <f aca="false">F232-E232</f>
        <v>31.1599999999999</v>
      </c>
      <c r="M232" s="26" t="n">
        <f aca="false">K232*L232</f>
        <v>0.553463108762383</v>
      </c>
    </row>
    <row r="233" customFormat="false" ht="15" hidden="false" customHeight="true" outlineLevel="0" collapsed="false">
      <c r="A233" s="19" t="n">
        <f aca="false">Pipe_Tally!A233</f>
        <v>232</v>
      </c>
      <c r="B233" s="19" t="str">
        <f aca="false">Pipe_Tally!D233</f>
        <v>5in 19.50 ppf S-135 drill pipe</v>
      </c>
      <c r="C233" s="26" t="n">
        <f aca="false">Pipe_Tally!F233</f>
        <v>5</v>
      </c>
      <c r="D233" s="26" t="n">
        <f aca="false">Pipe_Tally!G233</f>
        <v>4.276</v>
      </c>
      <c r="E233" s="24" t="n">
        <f aca="false">Pipe_Tally!L233</f>
        <v>5373.55</v>
      </c>
      <c r="F233" s="24" t="n">
        <f aca="false">Pipe_Tally!M233</f>
        <v>5404.63</v>
      </c>
      <c r="G233" s="24" t="n">
        <f aca="false">MAX(0,MIN(F233,Well_Data!$B$10)-MAX(E233,Well_Data!$B$23))</f>
        <v>0</v>
      </c>
      <c r="H233" s="26" t="n">
        <f aca="false">G233*(Well_Data!$B$26^2-C233^2)/1029.4</f>
        <v>0</v>
      </c>
      <c r="I233" s="24" t="n">
        <f aca="false">MAX(0,MIN(F233,Well_Data!$B$23)-E233)</f>
        <v>31.0799999999999</v>
      </c>
      <c r="J233" s="26" t="n">
        <f aca="false">I233*(Well_Data!$B$25^2-C233^2)/1029.4</f>
        <v>1.52047928101806</v>
      </c>
      <c r="K233" s="25" t="n">
        <f aca="false">D233^2/1029.4</f>
        <v>0.0177619739654167</v>
      </c>
      <c r="L233" s="24" t="n">
        <f aca="false">F233-E233</f>
        <v>31.0799999999999</v>
      </c>
      <c r="M233" s="26" t="n">
        <f aca="false">K233*L233</f>
        <v>0.552042150845151</v>
      </c>
    </row>
    <row r="234" customFormat="false" ht="15" hidden="false" customHeight="true" outlineLevel="0" collapsed="false">
      <c r="A234" s="19" t="n">
        <f aca="false">Pipe_Tally!A234</f>
        <v>233</v>
      </c>
      <c r="B234" s="19" t="str">
        <f aca="false">Pipe_Tally!D234</f>
        <v>5in 19.50 ppf S-135 drill pipe</v>
      </c>
      <c r="C234" s="26" t="n">
        <f aca="false">Pipe_Tally!F234</f>
        <v>5</v>
      </c>
      <c r="D234" s="26" t="n">
        <f aca="false">Pipe_Tally!G234</f>
        <v>4.276</v>
      </c>
      <c r="E234" s="24" t="n">
        <f aca="false">Pipe_Tally!L234</f>
        <v>5342.61</v>
      </c>
      <c r="F234" s="24" t="n">
        <f aca="false">Pipe_Tally!M234</f>
        <v>5373.55</v>
      </c>
      <c r="G234" s="24" t="n">
        <f aca="false">MAX(0,MIN(F234,Well_Data!$B$10)-MAX(E234,Well_Data!$B$23))</f>
        <v>0</v>
      </c>
      <c r="H234" s="26" t="n">
        <f aca="false">G234*(Well_Data!$B$26^2-C234^2)/1029.4</f>
        <v>0</v>
      </c>
      <c r="I234" s="24" t="n">
        <f aca="false">MAX(0,MIN(F234,Well_Data!$B$23)-E234)</f>
        <v>30.9399999999996</v>
      </c>
      <c r="J234" s="26" t="n">
        <f aca="false">I234*(Well_Data!$B$25^2-C234^2)/1029.4</f>
        <v>1.5136302752477</v>
      </c>
      <c r="K234" s="25" t="n">
        <f aca="false">D234^2/1029.4</f>
        <v>0.0177619739654167</v>
      </c>
      <c r="L234" s="24" t="n">
        <f aca="false">F234-E234</f>
        <v>30.9399999999996</v>
      </c>
      <c r="M234" s="26" t="n">
        <f aca="false">K234*L234</f>
        <v>0.549555474489987</v>
      </c>
    </row>
    <row r="235" customFormat="false" ht="15" hidden="false" customHeight="true" outlineLevel="0" collapsed="false">
      <c r="A235" s="19" t="n">
        <f aca="false">Pipe_Tally!A235</f>
        <v>234</v>
      </c>
      <c r="B235" s="19" t="str">
        <f aca="false">Pipe_Tally!D235</f>
        <v>5in 19.50 ppf S-135 drill pipe</v>
      </c>
      <c r="C235" s="26" t="n">
        <f aca="false">Pipe_Tally!F235</f>
        <v>5</v>
      </c>
      <c r="D235" s="26" t="n">
        <f aca="false">Pipe_Tally!G235</f>
        <v>4.276</v>
      </c>
      <c r="E235" s="24" t="n">
        <f aca="false">Pipe_Tally!L235</f>
        <v>5311.79</v>
      </c>
      <c r="F235" s="24" t="n">
        <f aca="false">Pipe_Tally!M235</f>
        <v>5342.61</v>
      </c>
      <c r="G235" s="24" t="n">
        <f aca="false">MAX(0,MIN(F235,Well_Data!$B$10)-MAX(E235,Well_Data!$B$23))</f>
        <v>0</v>
      </c>
      <c r="H235" s="26" t="n">
        <f aca="false">G235*(Well_Data!$B$26^2-C235^2)/1029.4</f>
        <v>0</v>
      </c>
      <c r="I235" s="24" t="n">
        <f aca="false">MAX(0,MIN(F235,Well_Data!$B$23)-E235)</f>
        <v>30.8199999999997</v>
      </c>
      <c r="J235" s="26" t="n">
        <f aca="false">I235*(Well_Data!$B$25^2-C235^2)/1029.4</f>
        <v>1.50775969887312</v>
      </c>
      <c r="K235" s="25" t="n">
        <f aca="false">D235^2/1029.4</f>
        <v>0.0177619739654167</v>
      </c>
      <c r="L235" s="24" t="n">
        <f aca="false">F235-E235</f>
        <v>30.8199999999997</v>
      </c>
      <c r="M235" s="26" t="n">
        <f aca="false">K235*L235</f>
        <v>0.547424037614139</v>
      </c>
    </row>
    <row r="236" customFormat="false" ht="15" hidden="false" customHeight="true" outlineLevel="0" collapsed="false">
      <c r="A236" s="19" t="n">
        <f aca="false">Pipe_Tally!A236</f>
        <v>235</v>
      </c>
      <c r="B236" s="19" t="str">
        <f aca="false">Pipe_Tally!D236</f>
        <v>5in 19.50 ppf S-135 drill pipe</v>
      </c>
      <c r="C236" s="26" t="n">
        <f aca="false">Pipe_Tally!F236</f>
        <v>5</v>
      </c>
      <c r="D236" s="26" t="n">
        <f aca="false">Pipe_Tally!G236</f>
        <v>4.276</v>
      </c>
      <c r="E236" s="24" t="n">
        <f aca="false">Pipe_Tally!L236</f>
        <v>5281.05</v>
      </c>
      <c r="F236" s="24" t="n">
        <f aca="false">Pipe_Tally!M236</f>
        <v>5311.79</v>
      </c>
      <c r="G236" s="24" t="n">
        <f aca="false">MAX(0,MIN(F236,Well_Data!$B$10)-MAX(E236,Well_Data!$B$23))</f>
        <v>0</v>
      </c>
      <c r="H236" s="26" t="n">
        <f aca="false">G236*(Well_Data!$B$26^2-C236^2)/1029.4</f>
        <v>0</v>
      </c>
      <c r="I236" s="24" t="n">
        <f aca="false">MAX(0,MIN(F236,Well_Data!$B$23)-E236)</f>
        <v>30.7399999999998</v>
      </c>
      <c r="J236" s="26" t="n">
        <f aca="false">I236*(Well_Data!$B$25^2-C236^2)/1029.4</f>
        <v>1.50384598129006</v>
      </c>
      <c r="K236" s="25" t="n">
        <f aca="false">D236^2/1029.4</f>
        <v>0.0177619739654167</v>
      </c>
      <c r="L236" s="24" t="n">
        <f aca="false">F236-E236</f>
        <v>30.7399999999998</v>
      </c>
      <c r="M236" s="26" t="n">
        <f aca="false">K236*L236</f>
        <v>0.546003079696907</v>
      </c>
    </row>
    <row r="237" customFormat="false" ht="15" hidden="false" customHeight="true" outlineLevel="0" collapsed="false">
      <c r="A237" s="19" t="n">
        <f aca="false">Pipe_Tally!A237</f>
        <v>236</v>
      </c>
      <c r="B237" s="19" t="str">
        <f aca="false">Pipe_Tally!D237</f>
        <v>5in 19.50 ppf S-135 drill pipe</v>
      </c>
      <c r="C237" s="26" t="n">
        <f aca="false">Pipe_Tally!F237</f>
        <v>5</v>
      </c>
      <c r="D237" s="26" t="n">
        <f aca="false">Pipe_Tally!G237</f>
        <v>4.276</v>
      </c>
      <c r="E237" s="24" t="n">
        <f aca="false">Pipe_Tally!L237</f>
        <v>5249.89</v>
      </c>
      <c r="F237" s="24" t="n">
        <f aca="false">Pipe_Tally!M237</f>
        <v>5281.05</v>
      </c>
      <c r="G237" s="24" t="n">
        <f aca="false">MAX(0,MIN(F237,Well_Data!$B$10)-MAX(E237,Well_Data!$B$23))</f>
        <v>0</v>
      </c>
      <c r="H237" s="26" t="n">
        <f aca="false">G237*(Well_Data!$B$26^2-C237^2)/1029.4</f>
        <v>0</v>
      </c>
      <c r="I237" s="24" t="n">
        <f aca="false">MAX(0,MIN(F237,Well_Data!$B$23)-E237)</f>
        <v>31.1599999999999</v>
      </c>
      <c r="J237" s="26" t="n">
        <f aca="false">I237*(Well_Data!$B$25^2-C237^2)/1029.4</f>
        <v>1.52439299860112</v>
      </c>
      <c r="K237" s="25" t="n">
        <f aca="false">D237^2/1029.4</f>
        <v>0.0177619739654167</v>
      </c>
      <c r="L237" s="24" t="n">
        <f aca="false">F237-E237</f>
        <v>31.1599999999999</v>
      </c>
      <c r="M237" s="26" t="n">
        <f aca="false">K237*L237</f>
        <v>0.553463108762383</v>
      </c>
    </row>
    <row r="238" customFormat="false" ht="15" hidden="false" customHeight="true" outlineLevel="0" collapsed="false">
      <c r="A238" s="19" t="n">
        <f aca="false">Pipe_Tally!A238</f>
        <v>237</v>
      </c>
      <c r="B238" s="19" t="str">
        <f aca="false">Pipe_Tally!D238</f>
        <v>5in 19.50 ppf S-135 drill pipe</v>
      </c>
      <c r="C238" s="26" t="n">
        <f aca="false">Pipe_Tally!F238</f>
        <v>5</v>
      </c>
      <c r="D238" s="26" t="n">
        <f aca="false">Pipe_Tally!G238</f>
        <v>4.276</v>
      </c>
      <c r="E238" s="24" t="n">
        <f aca="false">Pipe_Tally!L238</f>
        <v>5218.42</v>
      </c>
      <c r="F238" s="24" t="n">
        <f aca="false">Pipe_Tally!M238</f>
        <v>5249.89</v>
      </c>
      <c r="G238" s="24" t="n">
        <f aca="false">MAX(0,MIN(F238,Well_Data!$B$10)-MAX(E238,Well_Data!$B$23))</f>
        <v>0</v>
      </c>
      <c r="H238" s="26" t="n">
        <f aca="false">G238*(Well_Data!$B$26^2-C238^2)/1029.4</f>
        <v>0</v>
      </c>
      <c r="I238" s="24" t="n">
        <f aca="false">MAX(0,MIN(F238,Well_Data!$B$23)-E238)</f>
        <v>31.4700000000003</v>
      </c>
      <c r="J238" s="26" t="n">
        <f aca="false">I238*(Well_Data!$B$25^2-C238^2)/1029.4</f>
        <v>1.53955865423549</v>
      </c>
      <c r="K238" s="25" t="n">
        <f aca="false">D238^2/1029.4</f>
        <v>0.0177619739654167</v>
      </c>
      <c r="L238" s="24" t="n">
        <f aca="false">F238-E238</f>
        <v>31.4700000000003</v>
      </c>
      <c r="M238" s="26" t="n">
        <f aca="false">K238*L238</f>
        <v>0.55896932069167</v>
      </c>
    </row>
    <row r="239" customFormat="false" ht="15" hidden="false" customHeight="true" outlineLevel="0" collapsed="false">
      <c r="A239" s="19" t="n">
        <f aca="false">Pipe_Tally!A239</f>
        <v>238</v>
      </c>
      <c r="B239" s="19" t="str">
        <f aca="false">Pipe_Tally!D239</f>
        <v>5in 19.50 ppf S-135 drill pipe</v>
      </c>
      <c r="C239" s="26" t="n">
        <f aca="false">Pipe_Tally!F239</f>
        <v>5</v>
      </c>
      <c r="D239" s="26" t="n">
        <f aca="false">Pipe_Tally!G239</f>
        <v>4.276</v>
      </c>
      <c r="E239" s="24" t="n">
        <f aca="false">Pipe_Tally!L239</f>
        <v>5187.65</v>
      </c>
      <c r="F239" s="24" t="n">
        <f aca="false">Pipe_Tally!M239</f>
        <v>5218.42</v>
      </c>
      <c r="G239" s="24" t="n">
        <f aca="false">MAX(0,MIN(F239,Well_Data!$B$10)-MAX(E239,Well_Data!$B$23))</f>
        <v>0</v>
      </c>
      <c r="H239" s="26" t="n">
        <f aca="false">G239*(Well_Data!$B$26^2-C239^2)/1029.4</f>
        <v>0</v>
      </c>
      <c r="I239" s="24" t="n">
        <f aca="false">MAX(0,MIN(F239,Well_Data!$B$23)-E239)</f>
        <v>30.7700000000004</v>
      </c>
      <c r="J239" s="26" t="n">
        <f aca="false">I239*(Well_Data!$B$25^2-C239^2)/1029.4</f>
        <v>1.50531362538374</v>
      </c>
      <c r="K239" s="25" t="n">
        <f aca="false">D239^2/1029.4</f>
        <v>0.0177619739654167</v>
      </c>
      <c r="L239" s="24" t="n">
        <f aca="false">F239-E239</f>
        <v>30.7700000000004</v>
      </c>
      <c r="M239" s="26" t="n">
        <f aca="false">K239*L239</f>
        <v>0.546535938915881</v>
      </c>
    </row>
    <row r="240" customFormat="false" ht="15" hidden="false" customHeight="true" outlineLevel="0" collapsed="false">
      <c r="A240" s="19" t="n">
        <f aca="false">Pipe_Tally!A240</f>
        <v>239</v>
      </c>
      <c r="B240" s="19" t="str">
        <f aca="false">Pipe_Tally!D240</f>
        <v>5in 19.50 ppf S-135 drill pipe</v>
      </c>
      <c r="C240" s="26" t="n">
        <f aca="false">Pipe_Tally!F240</f>
        <v>5</v>
      </c>
      <c r="D240" s="26" t="n">
        <f aca="false">Pipe_Tally!G240</f>
        <v>4.276</v>
      </c>
      <c r="E240" s="24" t="n">
        <f aca="false">Pipe_Tally!L240</f>
        <v>5156.4</v>
      </c>
      <c r="F240" s="24" t="n">
        <f aca="false">Pipe_Tally!M240</f>
        <v>5187.65</v>
      </c>
      <c r="G240" s="24" t="n">
        <f aca="false">MAX(0,MIN(F240,Well_Data!$B$10)-MAX(E240,Well_Data!$B$23))</f>
        <v>0</v>
      </c>
      <c r="H240" s="26" t="n">
        <f aca="false">G240*(Well_Data!$B$26^2-C240^2)/1029.4</f>
        <v>0</v>
      </c>
      <c r="I240" s="24" t="n">
        <f aca="false">MAX(0,MIN(F240,Well_Data!$B$23)-E240)</f>
        <v>31.25</v>
      </c>
      <c r="J240" s="26" t="n">
        <f aca="false">I240*(Well_Data!$B$25^2-C240^2)/1029.4</f>
        <v>1.52879593088207</v>
      </c>
      <c r="K240" s="25" t="n">
        <f aca="false">D240^2/1029.4</f>
        <v>0.0177619739654167</v>
      </c>
      <c r="L240" s="24" t="n">
        <f aca="false">F240-E240</f>
        <v>31.25</v>
      </c>
      <c r="M240" s="26" t="n">
        <f aca="false">K240*L240</f>
        <v>0.555061686419273</v>
      </c>
    </row>
    <row r="241" customFormat="false" ht="15" hidden="false" customHeight="true" outlineLevel="0" collapsed="false">
      <c r="A241" s="19" t="n">
        <f aca="false">Pipe_Tally!A241</f>
        <v>240</v>
      </c>
      <c r="B241" s="19" t="str">
        <f aca="false">Pipe_Tally!D241</f>
        <v>5in 19.50 ppf S-135 drill pipe</v>
      </c>
      <c r="C241" s="26" t="n">
        <f aca="false">Pipe_Tally!F241</f>
        <v>5</v>
      </c>
      <c r="D241" s="26" t="n">
        <f aca="false">Pipe_Tally!G241</f>
        <v>4.276</v>
      </c>
      <c r="E241" s="24" t="n">
        <f aca="false">Pipe_Tally!L241</f>
        <v>5124.91</v>
      </c>
      <c r="F241" s="24" t="n">
        <f aca="false">Pipe_Tally!M241</f>
        <v>5156.4</v>
      </c>
      <c r="G241" s="24" t="n">
        <f aca="false">MAX(0,MIN(F241,Well_Data!$B$10)-MAX(E241,Well_Data!$B$23))</f>
        <v>0</v>
      </c>
      <c r="H241" s="26" t="n">
        <f aca="false">G241*(Well_Data!$B$26^2-C241^2)/1029.4</f>
        <v>0</v>
      </c>
      <c r="I241" s="24" t="n">
        <f aca="false">MAX(0,MIN(F241,Well_Data!$B$23)-E241)</f>
        <v>31.4899999999998</v>
      </c>
      <c r="J241" s="26" t="n">
        <f aca="false">I241*(Well_Data!$B$25^2-C241^2)/1029.4</f>
        <v>1.54053708363123</v>
      </c>
      <c r="K241" s="25" t="n">
        <f aca="false">D241^2/1029.4</f>
        <v>0.0177619739654167</v>
      </c>
      <c r="L241" s="24" t="n">
        <f aca="false">F241-E241</f>
        <v>31.4899999999998</v>
      </c>
      <c r="M241" s="26" t="n">
        <f aca="false">K241*L241</f>
        <v>0.559324560170969</v>
      </c>
    </row>
    <row r="242" customFormat="false" ht="15" hidden="false" customHeight="true" outlineLevel="0" collapsed="false">
      <c r="A242" s="19" t="n">
        <f aca="false">Pipe_Tally!A242</f>
        <v>241</v>
      </c>
      <c r="B242" s="19" t="str">
        <f aca="false">Pipe_Tally!D242</f>
        <v>5in 19.50 ppf S-135 drill pipe</v>
      </c>
      <c r="C242" s="26" t="n">
        <f aca="false">Pipe_Tally!F242</f>
        <v>5</v>
      </c>
      <c r="D242" s="26" t="n">
        <f aca="false">Pipe_Tally!G242</f>
        <v>4.276</v>
      </c>
      <c r="E242" s="24" t="n">
        <f aca="false">Pipe_Tally!L242</f>
        <v>5093.62</v>
      </c>
      <c r="F242" s="24" t="n">
        <f aca="false">Pipe_Tally!M242</f>
        <v>5124.91</v>
      </c>
      <c r="G242" s="24" t="n">
        <f aca="false">MAX(0,MIN(F242,Well_Data!$B$10)-MAX(E242,Well_Data!$B$23))</f>
        <v>0</v>
      </c>
      <c r="H242" s="26" t="n">
        <f aca="false">G242*(Well_Data!$B$26^2-C242^2)/1029.4</f>
        <v>0</v>
      </c>
      <c r="I242" s="24" t="n">
        <f aca="false">MAX(0,MIN(F242,Well_Data!$B$23)-E242)</f>
        <v>31.29</v>
      </c>
      <c r="J242" s="26" t="n">
        <f aca="false">I242*(Well_Data!$B$25^2-C242^2)/1029.4</f>
        <v>1.53075278967359</v>
      </c>
      <c r="K242" s="25" t="n">
        <f aca="false">D242^2/1029.4</f>
        <v>0.0177619739654167</v>
      </c>
      <c r="L242" s="24" t="n">
        <f aca="false">F242-E242</f>
        <v>31.29</v>
      </c>
      <c r="M242" s="26" t="n">
        <f aca="false">K242*L242</f>
        <v>0.555772165377889</v>
      </c>
    </row>
    <row r="243" customFormat="false" ht="15" hidden="false" customHeight="true" outlineLevel="0" collapsed="false">
      <c r="A243" s="19" t="n">
        <f aca="false">Pipe_Tally!A243</f>
        <v>242</v>
      </c>
      <c r="B243" s="19" t="str">
        <f aca="false">Pipe_Tally!D243</f>
        <v>5in 19.50 ppf S-135 drill pipe</v>
      </c>
      <c r="C243" s="26" t="n">
        <f aca="false">Pipe_Tally!F243</f>
        <v>5</v>
      </c>
      <c r="D243" s="26" t="n">
        <f aca="false">Pipe_Tally!G243</f>
        <v>4.276</v>
      </c>
      <c r="E243" s="24" t="n">
        <f aca="false">Pipe_Tally!L243</f>
        <v>5062.27</v>
      </c>
      <c r="F243" s="24" t="n">
        <f aca="false">Pipe_Tally!M243</f>
        <v>5093.62</v>
      </c>
      <c r="G243" s="24" t="n">
        <f aca="false">MAX(0,MIN(F243,Well_Data!$B$10)-MAX(E243,Well_Data!$B$23))</f>
        <v>0</v>
      </c>
      <c r="H243" s="26" t="n">
        <f aca="false">G243*(Well_Data!$B$26^2-C243^2)/1029.4</f>
        <v>0</v>
      </c>
      <c r="I243" s="24" t="n">
        <f aca="false">MAX(0,MIN(F243,Well_Data!$B$23)-E243)</f>
        <v>31.3500000000004</v>
      </c>
      <c r="J243" s="26" t="n">
        <f aca="false">I243*(Well_Data!$B$25^2-C243^2)/1029.4</f>
        <v>1.53368807786091</v>
      </c>
      <c r="K243" s="25" t="n">
        <f aca="false">D243^2/1029.4</f>
        <v>0.0177619739654167</v>
      </c>
      <c r="L243" s="24" t="n">
        <f aca="false">F243-E243</f>
        <v>31.3500000000004</v>
      </c>
      <c r="M243" s="26" t="n">
        <f aca="false">K243*L243</f>
        <v>0.556837883815821</v>
      </c>
    </row>
    <row r="244" customFormat="false" ht="15" hidden="false" customHeight="true" outlineLevel="0" collapsed="false">
      <c r="A244" s="19" t="n">
        <f aca="false">Pipe_Tally!A244</f>
        <v>243</v>
      </c>
      <c r="B244" s="19" t="str">
        <f aca="false">Pipe_Tally!D244</f>
        <v>5in 19.50 ppf S-135 drill pipe</v>
      </c>
      <c r="C244" s="26" t="n">
        <f aca="false">Pipe_Tally!F244</f>
        <v>5</v>
      </c>
      <c r="D244" s="26" t="n">
        <f aca="false">Pipe_Tally!G244</f>
        <v>4.276</v>
      </c>
      <c r="E244" s="24" t="n">
        <f aca="false">Pipe_Tally!L244</f>
        <v>5031.06</v>
      </c>
      <c r="F244" s="24" t="n">
        <f aca="false">Pipe_Tally!M244</f>
        <v>5062.27</v>
      </c>
      <c r="G244" s="24" t="n">
        <f aca="false">MAX(0,MIN(F244,Well_Data!$B$10)-MAX(E244,Well_Data!$B$23))</f>
        <v>0</v>
      </c>
      <c r="H244" s="26" t="n">
        <f aca="false">G244*(Well_Data!$B$26^2-C244^2)/1029.4</f>
        <v>0</v>
      </c>
      <c r="I244" s="24" t="n">
        <f aca="false">MAX(0,MIN(F244,Well_Data!$B$23)-E244)</f>
        <v>31.21</v>
      </c>
      <c r="J244" s="26" t="n">
        <f aca="false">I244*(Well_Data!$B$25^2-C244^2)/1029.4</f>
        <v>1.52683907209054</v>
      </c>
      <c r="K244" s="25" t="n">
        <f aca="false">D244^2/1029.4</f>
        <v>0.0177619739654167</v>
      </c>
      <c r="L244" s="24" t="n">
        <f aca="false">F244-E244</f>
        <v>31.21</v>
      </c>
      <c r="M244" s="26" t="n">
        <f aca="false">K244*L244</f>
        <v>0.554351207460657</v>
      </c>
    </row>
    <row r="245" customFormat="false" ht="15" hidden="false" customHeight="true" outlineLevel="0" collapsed="false">
      <c r="A245" s="19" t="n">
        <f aca="false">Pipe_Tally!A245</f>
        <v>244</v>
      </c>
      <c r="B245" s="19" t="str">
        <f aca="false">Pipe_Tally!D245</f>
        <v>5in 19.50 ppf S-135 drill pipe</v>
      </c>
      <c r="C245" s="26" t="n">
        <f aca="false">Pipe_Tally!F245</f>
        <v>5</v>
      </c>
      <c r="D245" s="26" t="n">
        <f aca="false">Pipe_Tally!G245</f>
        <v>4.276</v>
      </c>
      <c r="E245" s="24" t="n">
        <f aca="false">Pipe_Tally!L245</f>
        <v>4999.92</v>
      </c>
      <c r="F245" s="24" t="n">
        <f aca="false">Pipe_Tally!M245</f>
        <v>5031.06</v>
      </c>
      <c r="G245" s="24" t="n">
        <f aca="false">MAX(0,MIN(F245,Well_Data!$B$10)-MAX(E245,Well_Data!$B$23))</f>
        <v>0</v>
      </c>
      <c r="H245" s="26" t="n">
        <f aca="false">G245*(Well_Data!$B$26^2-C245^2)/1029.4</f>
        <v>0</v>
      </c>
      <c r="I245" s="24" t="n">
        <f aca="false">MAX(0,MIN(F245,Well_Data!$B$23)-E245)</f>
        <v>31.1400000000003</v>
      </c>
      <c r="J245" s="26" t="n">
        <f aca="false">I245*(Well_Data!$B$25^2-C245^2)/1029.4</f>
        <v>1.52341456920538</v>
      </c>
      <c r="K245" s="25" t="n">
        <f aca="false">D245^2/1029.4</f>
        <v>0.0177619739654167</v>
      </c>
      <c r="L245" s="24" t="n">
        <f aca="false">F245-E245</f>
        <v>31.1400000000003</v>
      </c>
      <c r="M245" s="26" t="n">
        <f aca="false">K245*L245</f>
        <v>0.553107869283083</v>
      </c>
    </row>
    <row r="246" customFormat="false" ht="15" hidden="false" customHeight="true" outlineLevel="0" collapsed="false">
      <c r="A246" s="19" t="n">
        <f aca="false">Pipe_Tally!A246</f>
        <v>245</v>
      </c>
      <c r="B246" s="19" t="str">
        <f aca="false">Pipe_Tally!D246</f>
        <v>5in 19.50 ppf S-135 drill pipe</v>
      </c>
      <c r="C246" s="26" t="n">
        <f aca="false">Pipe_Tally!F246</f>
        <v>5</v>
      </c>
      <c r="D246" s="26" t="n">
        <f aca="false">Pipe_Tally!G246</f>
        <v>4.276</v>
      </c>
      <c r="E246" s="24" t="n">
        <f aca="false">Pipe_Tally!L246</f>
        <v>4969.09</v>
      </c>
      <c r="F246" s="24" t="n">
        <f aca="false">Pipe_Tally!M246</f>
        <v>4999.92</v>
      </c>
      <c r="G246" s="24" t="n">
        <f aca="false">MAX(0,MIN(F246,Well_Data!$B$10)-MAX(E246,Well_Data!$B$23))</f>
        <v>0</v>
      </c>
      <c r="H246" s="26" t="n">
        <f aca="false">G246*(Well_Data!$B$26^2-C246^2)/1029.4</f>
        <v>0</v>
      </c>
      <c r="I246" s="24" t="n">
        <f aca="false">MAX(0,MIN(F246,Well_Data!$B$23)-E246)</f>
        <v>30.8299999999999</v>
      </c>
      <c r="J246" s="26" t="n">
        <f aca="false">I246*(Well_Data!$B$25^2-C246^2)/1029.4</f>
        <v>1.50824891357101</v>
      </c>
      <c r="K246" s="25" t="n">
        <f aca="false">D246^2/1029.4</f>
        <v>0.0177619739654167</v>
      </c>
      <c r="L246" s="24" t="n">
        <f aca="false">F246-E246</f>
        <v>30.8299999999999</v>
      </c>
      <c r="M246" s="26" t="n">
        <f aca="false">K246*L246</f>
        <v>0.547601657353797</v>
      </c>
    </row>
    <row r="247" customFormat="false" ht="15" hidden="false" customHeight="true" outlineLevel="0" collapsed="false">
      <c r="A247" s="19" t="n">
        <f aca="false">Pipe_Tally!A247</f>
        <v>246</v>
      </c>
      <c r="B247" s="19" t="str">
        <f aca="false">Pipe_Tally!D247</f>
        <v>5in 19.50 ppf S-135 drill pipe</v>
      </c>
      <c r="C247" s="26" t="n">
        <f aca="false">Pipe_Tally!F247</f>
        <v>5</v>
      </c>
      <c r="D247" s="26" t="n">
        <f aca="false">Pipe_Tally!G247</f>
        <v>4.276</v>
      </c>
      <c r="E247" s="24" t="n">
        <f aca="false">Pipe_Tally!L247</f>
        <v>4938.27</v>
      </c>
      <c r="F247" s="24" t="n">
        <f aca="false">Pipe_Tally!M247</f>
        <v>4969.09</v>
      </c>
      <c r="G247" s="24" t="n">
        <f aca="false">MAX(0,MIN(F247,Well_Data!$B$10)-MAX(E247,Well_Data!$B$23))</f>
        <v>0</v>
      </c>
      <c r="H247" s="26" t="n">
        <f aca="false">G247*(Well_Data!$B$26^2-C247^2)/1029.4</f>
        <v>0</v>
      </c>
      <c r="I247" s="24" t="n">
        <f aca="false">MAX(0,MIN(F247,Well_Data!$B$23)-E247)</f>
        <v>30.8199999999997</v>
      </c>
      <c r="J247" s="26" t="n">
        <f aca="false">I247*(Well_Data!$B$25^2-C247^2)/1029.4</f>
        <v>1.50775969887312</v>
      </c>
      <c r="K247" s="25" t="n">
        <f aca="false">D247^2/1029.4</f>
        <v>0.0177619739654167</v>
      </c>
      <c r="L247" s="24" t="n">
        <f aca="false">F247-E247</f>
        <v>30.8199999999997</v>
      </c>
      <c r="M247" s="26" t="n">
        <f aca="false">K247*L247</f>
        <v>0.547424037614139</v>
      </c>
    </row>
    <row r="248" customFormat="false" ht="15" hidden="false" customHeight="true" outlineLevel="0" collapsed="false">
      <c r="A248" s="19" t="n">
        <f aca="false">Pipe_Tally!A248</f>
        <v>247</v>
      </c>
      <c r="B248" s="19" t="str">
        <f aca="false">Pipe_Tally!D248</f>
        <v>5in 19.50 ppf S-135 drill pipe</v>
      </c>
      <c r="C248" s="26" t="n">
        <f aca="false">Pipe_Tally!F248</f>
        <v>5</v>
      </c>
      <c r="D248" s="26" t="n">
        <f aca="false">Pipe_Tally!G248</f>
        <v>4.276</v>
      </c>
      <c r="E248" s="24" t="n">
        <f aca="false">Pipe_Tally!L248</f>
        <v>4907.15</v>
      </c>
      <c r="F248" s="24" t="n">
        <f aca="false">Pipe_Tally!M248</f>
        <v>4938.27</v>
      </c>
      <c r="G248" s="24" t="n">
        <f aca="false">MAX(0,MIN(F248,Well_Data!$B$10)-MAX(E248,Well_Data!$B$23))</f>
        <v>0</v>
      </c>
      <c r="H248" s="26" t="n">
        <f aca="false">G248*(Well_Data!$B$26^2-C248^2)/1029.4</f>
        <v>0</v>
      </c>
      <c r="I248" s="24" t="n">
        <f aca="false">MAX(0,MIN(F248,Well_Data!$B$23)-E248)</f>
        <v>31.1199999999999</v>
      </c>
      <c r="J248" s="26" t="n">
        <f aca="false">I248*(Well_Data!$B$25^2-C248^2)/1029.4</f>
        <v>1.52243613980959</v>
      </c>
      <c r="K248" s="25" t="n">
        <f aca="false">D248^2/1029.4</f>
        <v>0.0177619739654167</v>
      </c>
      <c r="L248" s="24" t="n">
        <f aca="false">F248-E248</f>
        <v>31.1199999999999</v>
      </c>
      <c r="M248" s="26" t="n">
        <f aca="false">K248*L248</f>
        <v>0.552752629803767</v>
      </c>
    </row>
    <row r="249" customFormat="false" ht="15" hidden="false" customHeight="true" outlineLevel="0" collapsed="false">
      <c r="A249" s="19" t="n">
        <f aca="false">Pipe_Tally!A249</f>
        <v>248</v>
      </c>
      <c r="B249" s="19" t="str">
        <f aca="false">Pipe_Tally!D249</f>
        <v>5in 19.50 ppf S-135 drill pipe</v>
      </c>
      <c r="C249" s="26" t="n">
        <f aca="false">Pipe_Tally!F249</f>
        <v>5</v>
      </c>
      <c r="D249" s="26" t="n">
        <f aca="false">Pipe_Tally!G249</f>
        <v>4.276</v>
      </c>
      <c r="E249" s="24" t="n">
        <f aca="false">Pipe_Tally!L249</f>
        <v>4876.25</v>
      </c>
      <c r="F249" s="24" t="n">
        <f aca="false">Pipe_Tally!M249</f>
        <v>4907.15</v>
      </c>
      <c r="G249" s="24" t="n">
        <f aca="false">MAX(0,MIN(F249,Well_Data!$B$10)-MAX(E249,Well_Data!$B$23))</f>
        <v>0</v>
      </c>
      <c r="H249" s="26" t="n">
        <f aca="false">G249*(Well_Data!$B$26^2-C249^2)/1029.4</f>
        <v>0</v>
      </c>
      <c r="I249" s="24" t="n">
        <f aca="false">MAX(0,MIN(F249,Well_Data!$B$23)-E249)</f>
        <v>30.8999999999996</v>
      </c>
      <c r="J249" s="26" t="n">
        <f aca="false">I249*(Well_Data!$B$25^2-C249^2)/1029.4</f>
        <v>1.51167341645617</v>
      </c>
      <c r="K249" s="25" t="n">
        <f aca="false">D249^2/1029.4</f>
        <v>0.0177619739654167</v>
      </c>
      <c r="L249" s="24" t="n">
        <f aca="false">F249-E249</f>
        <v>30.8999999999996</v>
      </c>
      <c r="M249" s="26" t="n">
        <f aca="false">K249*L249</f>
        <v>0.548844995531371</v>
      </c>
    </row>
    <row r="250" customFormat="false" ht="15" hidden="false" customHeight="true" outlineLevel="0" collapsed="false">
      <c r="A250" s="19" t="n">
        <f aca="false">Pipe_Tally!A250</f>
        <v>249</v>
      </c>
      <c r="B250" s="19" t="str">
        <f aca="false">Pipe_Tally!D250</f>
        <v>5in 19.50 ppf S-135 drill pipe</v>
      </c>
      <c r="C250" s="26" t="n">
        <f aca="false">Pipe_Tally!F250</f>
        <v>5</v>
      </c>
      <c r="D250" s="26" t="n">
        <f aca="false">Pipe_Tally!G250</f>
        <v>4.276</v>
      </c>
      <c r="E250" s="24" t="n">
        <f aca="false">Pipe_Tally!L250</f>
        <v>4844.68</v>
      </c>
      <c r="F250" s="24" t="n">
        <f aca="false">Pipe_Tally!M250</f>
        <v>4876.25</v>
      </c>
      <c r="G250" s="24" t="n">
        <f aca="false">MAX(0,MIN(F250,Well_Data!$B$10)-MAX(E250,Well_Data!$B$23))</f>
        <v>0</v>
      </c>
      <c r="H250" s="26" t="n">
        <f aca="false">G250*(Well_Data!$B$26^2-C250^2)/1029.4</f>
        <v>0</v>
      </c>
      <c r="I250" s="24" t="n">
        <f aca="false">MAX(0,MIN(F250,Well_Data!$B$23)-E250)</f>
        <v>31.5699999999997</v>
      </c>
      <c r="J250" s="26" t="n">
        <f aca="false">I250*(Well_Data!$B$25^2-C250^2)/1029.4</f>
        <v>1.54445080121429</v>
      </c>
      <c r="K250" s="25" t="n">
        <f aca="false">D250^2/1029.4</f>
        <v>0.0177619739654167</v>
      </c>
      <c r="L250" s="24" t="n">
        <f aca="false">F250-E250</f>
        <v>31.5699999999997</v>
      </c>
      <c r="M250" s="26" t="n">
        <f aca="false">K250*L250</f>
        <v>0.560745518088201</v>
      </c>
    </row>
    <row r="251" customFormat="false" ht="15" hidden="false" customHeight="true" outlineLevel="0" collapsed="false">
      <c r="A251" s="19" t="n">
        <f aca="false">Pipe_Tally!A251</f>
        <v>250</v>
      </c>
      <c r="B251" s="19" t="str">
        <f aca="false">Pipe_Tally!D251</f>
        <v>5in 19.50 ppf S-135 drill pipe</v>
      </c>
      <c r="C251" s="26" t="n">
        <f aca="false">Pipe_Tally!F251</f>
        <v>5</v>
      </c>
      <c r="D251" s="26" t="n">
        <f aca="false">Pipe_Tally!G251</f>
        <v>4.276</v>
      </c>
      <c r="E251" s="24" t="n">
        <f aca="false">Pipe_Tally!L251</f>
        <v>4813.42</v>
      </c>
      <c r="F251" s="24" t="n">
        <f aca="false">Pipe_Tally!M251</f>
        <v>4844.68</v>
      </c>
      <c r="G251" s="24" t="n">
        <f aca="false">MAX(0,MIN(F251,Well_Data!$B$10)-MAX(E251,Well_Data!$B$23))</f>
        <v>0</v>
      </c>
      <c r="H251" s="26" t="n">
        <f aca="false">G251*(Well_Data!$B$26^2-C251^2)/1029.4</f>
        <v>0</v>
      </c>
      <c r="I251" s="24" t="n">
        <f aca="false">MAX(0,MIN(F251,Well_Data!$B$23)-E251)</f>
        <v>31.2600000000002</v>
      </c>
      <c r="J251" s="26" t="n">
        <f aca="false">I251*(Well_Data!$B$25^2-C251^2)/1029.4</f>
        <v>1.52928514557996</v>
      </c>
      <c r="K251" s="25" t="n">
        <f aca="false">D251^2/1029.4</f>
        <v>0.0177619739654167</v>
      </c>
      <c r="L251" s="24" t="n">
        <f aca="false">F251-E251</f>
        <v>31.2600000000002</v>
      </c>
      <c r="M251" s="26" t="n">
        <f aca="false">K251*L251</f>
        <v>0.555239306158931</v>
      </c>
    </row>
    <row r="252" customFormat="false" ht="15" hidden="false" customHeight="true" outlineLevel="0" collapsed="false">
      <c r="A252" s="19" t="n">
        <f aca="false">Pipe_Tally!A252</f>
        <v>251</v>
      </c>
      <c r="B252" s="19" t="str">
        <f aca="false">Pipe_Tally!D252</f>
        <v>5in 19.50 ppf S-135 drill pipe</v>
      </c>
      <c r="C252" s="26" t="n">
        <f aca="false">Pipe_Tally!F252</f>
        <v>5</v>
      </c>
      <c r="D252" s="26" t="n">
        <f aca="false">Pipe_Tally!G252</f>
        <v>4.276</v>
      </c>
      <c r="E252" s="24" t="n">
        <f aca="false">Pipe_Tally!L252</f>
        <v>4782.12</v>
      </c>
      <c r="F252" s="24" t="n">
        <f aca="false">Pipe_Tally!M252</f>
        <v>4813.42</v>
      </c>
      <c r="G252" s="24" t="n">
        <f aca="false">MAX(0,MIN(F252,Well_Data!$B$10)-MAX(E252,Well_Data!$B$23))</f>
        <v>0</v>
      </c>
      <c r="H252" s="26" t="n">
        <f aca="false">G252*(Well_Data!$B$26^2-C252^2)/1029.4</f>
        <v>0</v>
      </c>
      <c r="I252" s="24" t="n">
        <f aca="false">MAX(0,MIN(F252,Well_Data!$B$23)-E252)</f>
        <v>31.3000000000002</v>
      </c>
      <c r="J252" s="26" t="n">
        <f aca="false">I252*(Well_Data!$B$25^2-C252^2)/1029.4</f>
        <v>1.53124200437149</v>
      </c>
      <c r="K252" s="25" t="n">
        <f aca="false">D252^2/1029.4</f>
        <v>0.0177619739654167</v>
      </c>
      <c r="L252" s="24" t="n">
        <f aca="false">F252-E252</f>
        <v>31.3000000000002</v>
      </c>
      <c r="M252" s="26" t="n">
        <f aca="false">K252*L252</f>
        <v>0.555949785117547</v>
      </c>
    </row>
    <row r="253" customFormat="false" ht="15" hidden="false" customHeight="true" outlineLevel="0" collapsed="false">
      <c r="A253" s="19" t="n">
        <f aca="false">Pipe_Tally!A253</f>
        <v>252</v>
      </c>
      <c r="B253" s="19" t="str">
        <f aca="false">Pipe_Tally!D253</f>
        <v>5in 19.50 ppf S-135 drill pipe</v>
      </c>
      <c r="C253" s="26" t="n">
        <f aca="false">Pipe_Tally!F253</f>
        <v>5</v>
      </c>
      <c r="D253" s="26" t="n">
        <f aca="false">Pipe_Tally!G253</f>
        <v>4.276</v>
      </c>
      <c r="E253" s="24" t="n">
        <f aca="false">Pipe_Tally!L253</f>
        <v>4751.12</v>
      </c>
      <c r="F253" s="24" t="n">
        <f aca="false">Pipe_Tally!M253</f>
        <v>4782.12</v>
      </c>
      <c r="G253" s="24" t="n">
        <f aca="false">MAX(0,MIN(F253,Well_Data!$B$10)-MAX(E253,Well_Data!$B$23))</f>
        <v>0</v>
      </c>
      <c r="H253" s="26" t="n">
        <f aca="false">G253*(Well_Data!$B$26^2-C253^2)/1029.4</f>
        <v>0</v>
      </c>
      <c r="I253" s="24" t="n">
        <f aca="false">MAX(0,MIN(F253,Well_Data!$B$23)-E253)</f>
        <v>31</v>
      </c>
      <c r="J253" s="26" t="n">
        <f aca="false">I253*(Well_Data!$B$25^2-C253^2)/1029.4</f>
        <v>1.51656556343501</v>
      </c>
      <c r="K253" s="25" t="n">
        <f aca="false">D253^2/1029.4</f>
        <v>0.0177619739654167</v>
      </c>
      <c r="L253" s="24" t="n">
        <f aca="false">F253-E253</f>
        <v>31</v>
      </c>
      <c r="M253" s="26" t="n">
        <f aca="false">K253*L253</f>
        <v>0.550621192927919</v>
      </c>
    </row>
    <row r="254" customFormat="false" ht="15" hidden="false" customHeight="true" outlineLevel="0" collapsed="false">
      <c r="A254" s="19" t="n">
        <f aca="false">Pipe_Tally!A254</f>
        <v>253</v>
      </c>
      <c r="B254" s="19" t="str">
        <f aca="false">Pipe_Tally!D254</f>
        <v>5in 19.50 ppf S-135 drill pipe</v>
      </c>
      <c r="C254" s="26" t="n">
        <f aca="false">Pipe_Tally!F254</f>
        <v>5</v>
      </c>
      <c r="D254" s="26" t="n">
        <f aca="false">Pipe_Tally!G254</f>
        <v>4.276</v>
      </c>
      <c r="E254" s="24" t="n">
        <f aca="false">Pipe_Tally!L254</f>
        <v>4719.97</v>
      </c>
      <c r="F254" s="24" t="n">
        <f aca="false">Pipe_Tally!M254</f>
        <v>4751.12</v>
      </c>
      <c r="G254" s="24" t="n">
        <f aca="false">MAX(0,MIN(F254,Well_Data!$B$10)-MAX(E254,Well_Data!$B$23))</f>
        <v>0</v>
      </c>
      <c r="H254" s="26" t="n">
        <f aca="false">G254*(Well_Data!$B$26^2-C254^2)/1029.4</f>
        <v>0</v>
      </c>
      <c r="I254" s="24" t="n">
        <f aca="false">MAX(0,MIN(F254,Well_Data!$B$23)-E254)</f>
        <v>31.1499999999996</v>
      </c>
      <c r="J254" s="26" t="n">
        <f aca="false">I254*(Well_Data!$B$25^2-C254^2)/1029.4</f>
        <v>1.52390378390323</v>
      </c>
      <c r="K254" s="25" t="n">
        <f aca="false">D254^2/1029.4</f>
        <v>0.0177619739654167</v>
      </c>
      <c r="L254" s="24" t="n">
        <f aca="false">F254-E254</f>
        <v>31.1499999999996</v>
      </c>
      <c r="M254" s="26" t="n">
        <f aca="false">K254*L254</f>
        <v>0.553285489022725</v>
      </c>
    </row>
    <row r="255" customFormat="false" ht="15" hidden="false" customHeight="true" outlineLevel="0" collapsed="false">
      <c r="A255" s="19" t="n">
        <f aca="false">Pipe_Tally!A255</f>
        <v>254</v>
      </c>
      <c r="B255" s="19" t="str">
        <f aca="false">Pipe_Tally!D255</f>
        <v>5in 19.50 ppf S-135 drill pipe</v>
      </c>
      <c r="C255" s="26" t="n">
        <f aca="false">Pipe_Tally!F255</f>
        <v>5</v>
      </c>
      <c r="D255" s="26" t="n">
        <f aca="false">Pipe_Tally!G255</f>
        <v>4.276</v>
      </c>
      <c r="E255" s="24" t="n">
        <f aca="false">Pipe_Tally!L255</f>
        <v>4688.94</v>
      </c>
      <c r="F255" s="24" t="n">
        <f aca="false">Pipe_Tally!M255</f>
        <v>4719.97</v>
      </c>
      <c r="G255" s="24" t="n">
        <f aca="false">MAX(0,MIN(F255,Well_Data!$B$10)-MAX(E255,Well_Data!$B$23))</f>
        <v>0</v>
      </c>
      <c r="H255" s="26" t="n">
        <f aca="false">G255*(Well_Data!$B$26^2-C255^2)/1029.4</f>
        <v>0</v>
      </c>
      <c r="I255" s="24" t="n">
        <f aca="false">MAX(0,MIN(F255,Well_Data!$B$23)-E255)</f>
        <v>31.0299999999997</v>
      </c>
      <c r="J255" s="26" t="n">
        <f aca="false">I255*(Well_Data!$B$25^2-C255^2)/1029.4</f>
        <v>1.51803320752864</v>
      </c>
      <c r="K255" s="25" t="n">
        <f aca="false">D255^2/1029.4</f>
        <v>0.0177619739654167</v>
      </c>
      <c r="L255" s="24" t="n">
        <f aca="false">F255-E255</f>
        <v>31.0299999999997</v>
      </c>
      <c r="M255" s="26" t="n">
        <f aca="false">K255*L255</f>
        <v>0.551154052146877</v>
      </c>
    </row>
    <row r="256" customFormat="false" ht="15" hidden="false" customHeight="true" outlineLevel="0" collapsed="false">
      <c r="A256" s="19" t="n">
        <f aca="false">Pipe_Tally!A256</f>
        <v>255</v>
      </c>
      <c r="B256" s="19" t="str">
        <f aca="false">Pipe_Tally!D256</f>
        <v>5in 19.50 ppf S-135 drill pipe</v>
      </c>
      <c r="C256" s="26" t="n">
        <f aca="false">Pipe_Tally!F256</f>
        <v>5</v>
      </c>
      <c r="D256" s="26" t="n">
        <f aca="false">Pipe_Tally!G256</f>
        <v>4.276</v>
      </c>
      <c r="E256" s="24" t="n">
        <f aca="false">Pipe_Tally!L256</f>
        <v>4657.35</v>
      </c>
      <c r="F256" s="24" t="n">
        <f aca="false">Pipe_Tally!M256</f>
        <v>4688.94</v>
      </c>
      <c r="G256" s="24" t="n">
        <f aca="false">MAX(0,MIN(F256,Well_Data!$B$10)-MAX(E256,Well_Data!$B$23))</f>
        <v>0</v>
      </c>
      <c r="H256" s="26" t="n">
        <f aca="false">G256*(Well_Data!$B$26^2-C256^2)/1029.4</f>
        <v>0</v>
      </c>
      <c r="I256" s="24" t="n">
        <f aca="false">MAX(0,MIN(F256,Well_Data!$B$23)-E256)</f>
        <v>31.5900000000001</v>
      </c>
      <c r="J256" s="26" t="n">
        <f aca="false">I256*(Well_Data!$B$25^2-C256^2)/1029.4</f>
        <v>1.54542923061007</v>
      </c>
      <c r="K256" s="25" t="n">
        <f aca="false">D256^2/1029.4</f>
        <v>0.0177619739654167</v>
      </c>
      <c r="L256" s="24" t="n">
        <f aca="false">F256-E256</f>
        <v>31.5900000000001</v>
      </c>
      <c r="M256" s="26" t="n">
        <f aca="false">K256*L256</f>
        <v>0.561100757567518</v>
      </c>
    </row>
    <row r="257" customFormat="false" ht="15" hidden="false" customHeight="true" outlineLevel="0" collapsed="false">
      <c r="A257" s="19" t="n">
        <f aca="false">Pipe_Tally!A257</f>
        <v>256</v>
      </c>
      <c r="B257" s="19" t="str">
        <f aca="false">Pipe_Tally!D257</f>
        <v>5in 19.50 ppf S-135 drill pipe</v>
      </c>
      <c r="C257" s="26" t="n">
        <f aca="false">Pipe_Tally!F257</f>
        <v>5</v>
      </c>
      <c r="D257" s="26" t="n">
        <f aca="false">Pipe_Tally!G257</f>
        <v>4.276</v>
      </c>
      <c r="E257" s="24" t="n">
        <f aca="false">Pipe_Tally!L257</f>
        <v>4626.42</v>
      </c>
      <c r="F257" s="24" t="n">
        <f aca="false">Pipe_Tally!M257</f>
        <v>4657.35</v>
      </c>
      <c r="G257" s="24" t="n">
        <f aca="false">MAX(0,MIN(F257,Well_Data!$B$10)-MAX(E257,Well_Data!$B$23))</f>
        <v>0</v>
      </c>
      <c r="H257" s="26" t="n">
        <f aca="false">G257*(Well_Data!$B$26^2-C257^2)/1029.4</f>
        <v>0</v>
      </c>
      <c r="I257" s="24" t="n">
        <f aca="false">MAX(0,MIN(F257,Well_Data!$B$23)-E257)</f>
        <v>30.9300000000003</v>
      </c>
      <c r="J257" s="26" t="n">
        <f aca="false">I257*(Well_Data!$B$25^2-C257^2)/1029.4</f>
        <v>1.51314106054985</v>
      </c>
      <c r="K257" s="25" t="n">
        <f aca="false">D257^2/1029.4</f>
        <v>0.0177619739654167</v>
      </c>
      <c r="L257" s="24" t="n">
        <f aca="false">F257-E257</f>
        <v>30.9300000000003</v>
      </c>
      <c r="M257" s="26" t="n">
        <f aca="false">K257*L257</f>
        <v>0.549377854750345</v>
      </c>
    </row>
    <row r="258" customFormat="false" ht="15" hidden="false" customHeight="true" outlineLevel="0" collapsed="false">
      <c r="A258" s="19" t="n">
        <f aca="false">Pipe_Tally!A258</f>
        <v>257</v>
      </c>
      <c r="B258" s="19" t="str">
        <f aca="false">Pipe_Tally!D258</f>
        <v>5in 19.50 ppf S-135 drill pipe</v>
      </c>
      <c r="C258" s="26" t="n">
        <f aca="false">Pipe_Tally!F258</f>
        <v>5</v>
      </c>
      <c r="D258" s="26" t="n">
        <f aca="false">Pipe_Tally!G258</f>
        <v>4.276</v>
      </c>
      <c r="E258" s="24" t="n">
        <f aca="false">Pipe_Tally!L258</f>
        <v>4595.35</v>
      </c>
      <c r="F258" s="24" t="n">
        <f aca="false">Pipe_Tally!M258</f>
        <v>4626.42</v>
      </c>
      <c r="G258" s="24" t="n">
        <f aca="false">MAX(0,MIN(F258,Well_Data!$B$10)-MAX(E258,Well_Data!$B$23))</f>
        <v>0</v>
      </c>
      <c r="H258" s="26" t="n">
        <f aca="false">G258*(Well_Data!$B$26^2-C258^2)/1029.4</f>
        <v>0</v>
      </c>
      <c r="I258" s="24" t="n">
        <f aca="false">MAX(0,MIN(F258,Well_Data!$B$23)-E258)</f>
        <v>31.0699999999997</v>
      </c>
      <c r="J258" s="26" t="n">
        <f aca="false">I258*(Well_Data!$B$25^2-C258^2)/1029.4</f>
        <v>1.51999006632017</v>
      </c>
      <c r="K258" s="25" t="n">
        <f aca="false">D258^2/1029.4</f>
        <v>0.0177619739654167</v>
      </c>
      <c r="L258" s="24" t="n">
        <f aca="false">F258-E258</f>
        <v>31.0699999999997</v>
      </c>
      <c r="M258" s="26" t="n">
        <f aca="false">K258*L258</f>
        <v>0.551864531105493</v>
      </c>
    </row>
    <row r="259" customFormat="false" ht="15" hidden="false" customHeight="true" outlineLevel="0" collapsed="false">
      <c r="A259" s="19" t="n">
        <f aca="false">Pipe_Tally!A259</f>
        <v>258</v>
      </c>
      <c r="B259" s="19" t="str">
        <f aca="false">Pipe_Tally!D259</f>
        <v>5in 19.50 ppf S-135 drill pipe</v>
      </c>
      <c r="C259" s="26" t="n">
        <f aca="false">Pipe_Tally!F259</f>
        <v>5</v>
      </c>
      <c r="D259" s="26" t="n">
        <f aca="false">Pipe_Tally!G259</f>
        <v>4.276</v>
      </c>
      <c r="E259" s="24" t="n">
        <f aca="false">Pipe_Tally!L259</f>
        <v>4563.92</v>
      </c>
      <c r="F259" s="24" t="n">
        <f aca="false">Pipe_Tally!M259</f>
        <v>4595.35</v>
      </c>
      <c r="G259" s="24" t="n">
        <f aca="false">MAX(0,MIN(F259,Well_Data!$B$10)-MAX(E259,Well_Data!$B$23))</f>
        <v>0</v>
      </c>
      <c r="H259" s="26" t="n">
        <f aca="false">G259*(Well_Data!$B$26^2-C259^2)/1029.4</f>
        <v>0</v>
      </c>
      <c r="I259" s="24" t="n">
        <f aca="false">MAX(0,MIN(F259,Well_Data!$B$23)-E259)</f>
        <v>31.4300000000003</v>
      </c>
      <c r="J259" s="26" t="n">
        <f aca="false">I259*(Well_Data!$B$25^2-C259^2)/1029.4</f>
        <v>1.53760179544396</v>
      </c>
      <c r="K259" s="25" t="n">
        <f aca="false">D259^2/1029.4</f>
        <v>0.0177619739654167</v>
      </c>
      <c r="L259" s="24" t="n">
        <f aca="false">F259-E259</f>
        <v>31.4300000000003</v>
      </c>
      <c r="M259" s="26" t="n">
        <f aca="false">K259*L259</f>
        <v>0.558258841733053</v>
      </c>
    </row>
    <row r="260" customFormat="false" ht="15" hidden="false" customHeight="true" outlineLevel="0" collapsed="false">
      <c r="A260" s="19" t="n">
        <f aca="false">Pipe_Tally!A260</f>
        <v>259</v>
      </c>
      <c r="B260" s="19" t="str">
        <f aca="false">Pipe_Tally!D260</f>
        <v>5in 19.50 ppf S-135 drill pipe</v>
      </c>
      <c r="C260" s="26" t="n">
        <f aca="false">Pipe_Tally!F260</f>
        <v>5</v>
      </c>
      <c r="D260" s="26" t="n">
        <f aca="false">Pipe_Tally!G260</f>
        <v>4.276</v>
      </c>
      <c r="E260" s="24" t="n">
        <f aca="false">Pipe_Tally!L260</f>
        <v>4532.56</v>
      </c>
      <c r="F260" s="24" t="n">
        <f aca="false">Pipe_Tally!M260</f>
        <v>4563.92</v>
      </c>
      <c r="G260" s="24" t="n">
        <f aca="false">MAX(0,MIN(F260,Well_Data!$B$10)-MAX(E260,Well_Data!$B$23))</f>
        <v>0</v>
      </c>
      <c r="H260" s="26" t="n">
        <f aca="false">G260*(Well_Data!$B$26^2-C260^2)/1029.4</f>
        <v>0</v>
      </c>
      <c r="I260" s="24" t="n">
        <f aca="false">MAX(0,MIN(F260,Well_Data!$B$23)-E260)</f>
        <v>31.3599999999997</v>
      </c>
      <c r="J260" s="26" t="n">
        <f aca="false">I260*(Well_Data!$B$25^2-C260^2)/1029.4</f>
        <v>1.53417729255876</v>
      </c>
      <c r="K260" s="25" t="n">
        <f aca="false">D260^2/1029.4</f>
        <v>0.0177619739654167</v>
      </c>
      <c r="L260" s="24" t="n">
        <f aca="false">F260-E260</f>
        <v>31.3599999999997</v>
      </c>
      <c r="M260" s="26" t="n">
        <f aca="false">K260*L260</f>
        <v>0.557015503555463</v>
      </c>
    </row>
    <row r="261" customFormat="false" ht="15" hidden="false" customHeight="true" outlineLevel="0" collapsed="false">
      <c r="A261" s="19" t="n">
        <f aca="false">Pipe_Tally!A261</f>
        <v>260</v>
      </c>
      <c r="B261" s="19" t="str">
        <f aca="false">Pipe_Tally!D261</f>
        <v>5in 19.50 ppf S-135 drill pipe</v>
      </c>
      <c r="C261" s="26" t="n">
        <f aca="false">Pipe_Tally!F261</f>
        <v>5</v>
      </c>
      <c r="D261" s="26" t="n">
        <f aca="false">Pipe_Tally!G261</f>
        <v>4.276</v>
      </c>
      <c r="E261" s="24" t="n">
        <f aca="false">Pipe_Tally!L261</f>
        <v>4501.43</v>
      </c>
      <c r="F261" s="24" t="n">
        <f aca="false">Pipe_Tally!M261</f>
        <v>4532.56</v>
      </c>
      <c r="G261" s="24" t="n">
        <f aca="false">MAX(0,MIN(F261,Well_Data!$B$10)-MAX(E261,Well_Data!$B$23))</f>
        <v>0</v>
      </c>
      <c r="H261" s="26" t="n">
        <f aca="false">G261*(Well_Data!$B$26^2-C261^2)/1029.4</f>
        <v>0</v>
      </c>
      <c r="I261" s="24" t="n">
        <f aca="false">MAX(0,MIN(F261,Well_Data!$B$23)-E261)</f>
        <v>31.1300000000001</v>
      </c>
      <c r="J261" s="26" t="n">
        <f aca="false">I261*(Well_Data!$B$25^2-C261^2)/1029.4</f>
        <v>1.52292535450749</v>
      </c>
      <c r="K261" s="25" t="n">
        <f aca="false">D261^2/1029.4</f>
        <v>0.0177619739654167</v>
      </c>
      <c r="L261" s="24" t="n">
        <f aca="false">F261-E261</f>
        <v>31.1300000000001</v>
      </c>
      <c r="M261" s="26" t="n">
        <f aca="false">K261*L261</f>
        <v>0.552930249543425</v>
      </c>
    </row>
    <row r="262" customFormat="false" ht="15" hidden="false" customHeight="true" outlineLevel="0" collapsed="false">
      <c r="A262" s="19" t="n">
        <f aca="false">Pipe_Tally!A262</f>
        <v>261</v>
      </c>
      <c r="B262" s="19" t="str">
        <f aca="false">Pipe_Tally!D262</f>
        <v>5in 19.50 ppf S-135 drill pipe</v>
      </c>
      <c r="C262" s="26" t="n">
        <f aca="false">Pipe_Tally!F262</f>
        <v>5</v>
      </c>
      <c r="D262" s="26" t="n">
        <f aca="false">Pipe_Tally!G262</f>
        <v>4.276</v>
      </c>
      <c r="E262" s="24" t="n">
        <f aca="false">Pipe_Tally!L262</f>
        <v>4470.48</v>
      </c>
      <c r="F262" s="24" t="n">
        <f aca="false">Pipe_Tally!M262</f>
        <v>4501.43</v>
      </c>
      <c r="G262" s="24" t="n">
        <f aca="false">MAX(0,MIN(F262,Well_Data!$B$10)-MAX(E262,Well_Data!$B$23))</f>
        <v>0</v>
      </c>
      <c r="H262" s="26" t="n">
        <f aca="false">G262*(Well_Data!$B$26^2-C262^2)/1029.4</f>
        <v>0</v>
      </c>
      <c r="I262" s="24" t="n">
        <f aca="false">MAX(0,MIN(F262,Well_Data!$B$23)-E262)</f>
        <v>30.9499999999998</v>
      </c>
      <c r="J262" s="26" t="n">
        <f aca="false">I262*(Well_Data!$B$25^2-C262^2)/1029.4</f>
        <v>1.51411948994559</v>
      </c>
      <c r="K262" s="25" t="n">
        <f aca="false">D262^2/1029.4</f>
        <v>0.0177619739654167</v>
      </c>
      <c r="L262" s="24" t="n">
        <f aca="false">F262-E262</f>
        <v>30.9499999999998</v>
      </c>
      <c r="M262" s="26" t="n">
        <f aca="false">K262*L262</f>
        <v>0.549733094229645</v>
      </c>
    </row>
    <row r="263" customFormat="false" ht="15" hidden="false" customHeight="true" outlineLevel="0" collapsed="false">
      <c r="A263" s="19" t="n">
        <f aca="false">Pipe_Tally!A263</f>
        <v>262</v>
      </c>
      <c r="B263" s="19" t="str">
        <f aca="false">Pipe_Tally!D263</f>
        <v>5in 19.50 ppf S-135 drill pipe</v>
      </c>
      <c r="C263" s="26" t="n">
        <f aca="false">Pipe_Tally!F263</f>
        <v>5</v>
      </c>
      <c r="D263" s="26" t="n">
        <f aca="false">Pipe_Tally!G263</f>
        <v>4.276</v>
      </c>
      <c r="E263" s="24" t="n">
        <f aca="false">Pipe_Tally!L263</f>
        <v>4439.5</v>
      </c>
      <c r="F263" s="24" t="n">
        <f aca="false">Pipe_Tally!M263</f>
        <v>4470.48</v>
      </c>
      <c r="G263" s="24" t="n">
        <f aca="false">MAX(0,MIN(F263,Well_Data!$B$10)-MAX(E263,Well_Data!$B$23))</f>
        <v>0</v>
      </c>
      <c r="H263" s="26" t="n">
        <f aca="false">G263*(Well_Data!$B$26^2-C263^2)/1029.4</f>
        <v>0</v>
      </c>
      <c r="I263" s="24" t="n">
        <f aca="false">MAX(0,MIN(F263,Well_Data!$B$23)-E263)</f>
        <v>30.9799999999996</v>
      </c>
      <c r="J263" s="26" t="n">
        <f aca="false">I263*(Well_Data!$B$25^2-C263^2)/1029.4</f>
        <v>1.51558713403922</v>
      </c>
      <c r="K263" s="25" t="n">
        <f aca="false">D263^2/1029.4</f>
        <v>0.0177619739654167</v>
      </c>
      <c r="L263" s="24" t="n">
        <f aca="false">F263-E263</f>
        <v>30.9799999999996</v>
      </c>
      <c r="M263" s="26" t="n">
        <f aca="false">K263*L263</f>
        <v>0.550265953448603</v>
      </c>
    </row>
    <row r="264" customFormat="false" ht="15" hidden="false" customHeight="true" outlineLevel="0" collapsed="false">
      <c r="A264" s="19" t="n">
        <f aca="false">Pipe_Tally!A264</f>
        <v>263</v>
      </c>
      <c r="B264" s="19" t="str">
        <f aca="false">Pipe_Tally!D264</f>
        <v>5in 19.50 ppf S-135 drill pipe</v>
      </c>
      <c r="C264" s="26" t="n">
        <f aca="false">Pipe_Tally!F264</f>
        <v>5</v>
      </c>
      <c r="D264" s="26" t="n">
        <f aca="false">Pipe_Tally!G264</f>
        <v>4.276</v>
      </c>
      <c r="E264" s="24" t="n">
        <f aca="false">Pipe_Tally!L264</f>
        <v>4408.05</v>
      </c>
      <c r="F264" s="24" t="n">
        <f aca="false">Pipe_Tally!M264</f>
        <v>4439.5</v>
      </c>
      <c r="G264" s="24" t="n">
        <f aca="false">MAX(0,MIN(F264,Well_Data!$B$10)-MAX(E264,Well_Data!$B$23))</f>
        <v>0</v>
      </c>
      <c r="H264" s="26" t="n">
        <f aca="false">G264*(Well_Data!$B$26^2-C264^2)/1029.4</f>
        <v>0</v>
      </c>
      <c r="I264" s="24" t="n">
        <f aca="false">MAX(0,MIN(F264,Well_Data!$B$23)-E264)</f>
        <v>31.4499999999998</v>
      </c>
      <c r="J264" s="26" t="n">
        <f aca="false">I264*(Well_Data!$B$25^2-C264^2)/1029.4</f>
        <v>1.5385802248397</v>
      </c>
      <c r="K264" s="25" t="n">
        <f aca="false">D264^2/1029.4</f>
        <v>0.0177619739654167</v>
      </c>
      <c r="L264" s="24" t="n">
        <f aca="false">F264-E264</f>
        <v>31.4499999999998</v>
      </c>
      <c r="M264" s="26" t="n">
        <f aca="false">K264*L264</f>
        <v>0.558614081212353</v>
      </c>
    </row>
    <row r="265" customFormat="false" ht="15" hidden="false" customHeight="true" outlineLevel="0" collapsed="false">
      <c r="A265" s="19" t="n">
        <f aca="false">Pipe_Tally!A265</f>
        <v>264</v>
      </c>
      <c r="B265" s="19" t="str">
        <f aca="false">Pipe_Tally!D265</f>
        <v>5in 19.50 ppf S-135 drill pipe</v>
      </c>
      <c r="C265" s="26" t="n">
        <f aca="false">Pipe_Tally!F265</f>
        <v>5</v>
      </c>
      <c r="D265" s="26" t="n">
        <f aca="false">Pipe_Tally!G265</f>
        <v>4.276</v>
      </c>
      <c r="E265" s="24" t="n">
        <f aca="false">Pipe_Tally!L265</f>
        <v>4376.56</v>
      </c>
      <c r="F265" s="24" t="n">
        <f aca="false">Pipe_Tally!M265</f>
        <v>4408.05</v>
      </c>
      <c r="G265" s="24" t="n">
        <f aca="false">MAX(0,MIN(F265,Well_Data!$B$10)-MAX(E265,Well_Data!$B$23))</f>
        <v>0</v>
      </c>
      <c r="H265" s="26" t="n">
        <f aca="false">G265*(Well_Data!$B$26^2-C265^2)/1029.4</f>
        <v>0</v>
      </c>
      <c r="I265" s="24" t="n">
        <f aca="false">MAX(0,MIN(F265,Well_Data!$B$23)-E265)</f>
        <v>31.4899999999998</v>
      </c>
      <c r="J265" s="26" t="n">
        <f aca="false">I265*(Well_Data!$B$25^2-C265^2)/1029.4</f>
        <v>1.54053708363123</v>
      </c>
      <c r="K265" s="25" t="n">
        <f aca="false">D265^2/1029.4</f>
        <v>0.0177619739654167</v>
      </c>
      <c r="L265" s="24" t="n">
        <f aca="false">F265-E265</f>
        <v>31.4899999999998</v>
      </c>
      <c r="M265" s="26" t="n">
        <f aca="false">K265*L265</f>
        <v>0.559324560170969</v>
      </c>
    </row>
    <row r="266" customFormat="false" ht="15" hidden="false" customHeight="true" outlineLevel="0" collapsed="false">
      <c r="A266" s="19" t="n">
        <f aca="false">Pipe_Tally!A266</f>
        <v>265</v>
      </c>
      <c r="B266" s="19" t="str">
        <f aca="false">Pipe_Tally!D266</f>
        <v>5in 19.50 ppf S-135 drill pipe</v>
      </c>
      <c r="C266" s="26" t="n">
        <f aca="false">Pipe_Tally!F266</f>
        <v>5</v>
      </c>
      <c r="D266" s="26" t="n">
        <f aca="false">Pipe_Tally!G266</f>
        <v>4.276</v>
      </c>
      <c r="E266" s="24" t="n">
        <f aca="false">Pipe_Tally!L266</f>
        <v>4345.72</v>
      </c>
      <c r="F266" s="24" t="n">
        <f aca="false">Pipe_Tally!M266</f>
        <v>4376.56</v>
      </c>
      <c r="G266" s="24" t="n">
        <f aca="false">MAX(0,MIN(F266,Well_Data!$B$10)-MAX(E266,Well_Data!$B$23))</f>
        <v>0</v>
      </c>
      <c r="H266" s="26" t="n">
        <f aca="false">G266*(Well_Data!$B$26^2-C266^2)/1029.4</f>
        <v>0</v>
      </c>
      <c r="I266" s="24" t="n">
        <f aca="false">MAX(0,MIN(F266,Well_Data!$B$23)-E266)</f>
        <v>30.8400000000001</v>
      </c>
      <c r="J266" s="26" t="n">
        <f aca="false">I266*(Well_Data!$B$25^2-C266^2)/1029.4</f>
        <v>1.5087381282689</v>
      </c>
      <c r="K266" s="25" t="n">
        <f aca="false">D266^2/1029.4</f>
        <v>0.0177619739654167</v>
      </c>
      <c r="L266" s="24" t="n">
        <f aca="false">F266-E266</f>
        <v>30.8400000000001</v>
      </c>
      <c r="M266" s="26" t="n">
        <f aca="false">K266*L266</f>
        <v>0.547779277093455</v>
      </c>
    </row>
    <row r="267" customFormat="false" ht="15" hidden="false" customHeight="true" outlineLevel="0" collapsed="false">
      <c r="A267" s="19" t="n">
        <f aca="false">Pipe_Tally!A267</f>
        <v>266</v>
      </c>
      <c r="B267" s="19" t="str">
        <f aca="false">Pipe_Tally!D267</f>
        <v>5in 19.50 ppf S-135 drill pipe</v>
      </c>
      <c r="C267" s="26" t="n">
        <f aca="false">Pipe_Tally!F267</f>
        <v>5</v>
      </c>
      <c r="D267" s="26" t="n">
        <f aca="false">Pipe_Tally!G267</f>
        <v>4.276</v>
      </c>
      <c r="E267" s="24" t="n">
        <f aca="false">Pipe_Tally!L267</f>
        <v>4314.52</v>
      </c>
      <c r="F267" s="24" t="n">
        <f aca="false">Pipe_Tally!M267</f>
        <v>4345.72</v>
      </c>
      <c r="G267" s="24" t="n">
        <f aca="false">MAX(0,MIN(F267,Well_Data!$B$10)-MAX(E267,Well_Data!$B$23))</f>
        <v>0</v>
      </c>
      <c r="H267" s="26" t="n">
        <f aca="false">G267*(Well_Data!$B$26^2-C267^2)/1029.4</f>
        <v>0</v>
      </c>
      <c r="I267" s="24" t="n">
        <f aca="false">MAX(0,MIN(F267,Well_Data!$B$23)-E267)</f>
        <v>31.1999999999998</v>
      </c>
      <c r="J267" s="26" t="n">
        <f aca="false">I267*(Well_Data!$B$25^2-C267^2)/1029.4</f>
        <v>1.52634985739265</v>
      </c>
      <c r="K267" s="25" t="n">
        <f aca="false">D267^2/1029.4</f>
        <v>0.0177619739654167</v>
      </c>
      <c r="L267" s="24" t="n">
        <f aca="false">F267-E267</f>
        <v>31.1999999999998</v>
      </c>
      <c r="M267" s="26" t="n">
        <f aca="false">K267*L267</f>
        <v>0.554173587720999</v>
      </c>
    </row>
    <row r="268" customFormat="false" ht="15" hidden="false" customHeight="true" outlineLevel="0" collapsed="false">
      <c r="A268" s="19" t="n">
        <f aca="false">Pipe_Tally!A268</f>
        <v>267</v>
      </c>
      <c r="B268" s="19" t="str">
        <f aca="false">Pipe_Tally!D268</f>
        <v>5in 19.50 ppf S-135 drill pipe</v>
      </c>
      <c r="C268" s="26" t="n">
        <f aca="false">Pipe_Tally!F268</f>
        <v>5</v>
      </c>
      <c r="D268" s="26" t="n">
        <f aca="false">Pipe_Tally!G268</f>
        <v>4.276</v>
      </c>
      <c r="E268" s="24" t="n">
        <f aca="false">Pipe_Tally!L268</f>
        <v>4282.83</v>
      </c>
      <c r="F268" s="24" t="n">
        <f aca="false">Pipe_Tally!M268</f>
        <v>4314.52</v>
      </c>
      <c r="G268" s="24" t="n">
        <f aca="false">MAX(0,MIN(F268,Well_Data!$B$10)-MAX(E268,Well_Data!$B$23))</f>
        <v>0</v>
      </c>
      <c r="H268" s="26" t="n">
        <f aca="false">G268*(Well_Data!$B$26^2-C268^2)/1029.4</f>
        <v>0</v>
      </c>
      <c r="I268" s="24" t="n">
        <f aca="false">MAX(0,MIN(F268,Well_Data!$B$23)-E268)</f>
        <v>31.6899999999996</v>
      </c>
      <c r="J268" s="26" t="n">
        <f aca="false">I268*(Well_Data!$B$25^2-C268^2)/1029.4</f>
        <v>1.55032137758887</v>
      </c>
      <c r="K268" s="25" t="n">
        <f aca="false">D268^2/1029.4</f>
        <v>0.0177619739654167</v>
      </c>
      <c r="L268" s="24" t="n">
        <f aca="false">F268-E268</f>
        <v>31.6899999999996</v>
      </c>
      <c r="M268" s="26" t="n">
        <f aca="false">K268*L268</f>
        <v>0.562876954964049</v>
      </c>
    </row>
    <row r="269" customFormat="false" ht="15" hidden="false" customHeight="true" outlineLevel="0" collapsed="false">
      <c r="A269" s="19" t="n">
        <f aca="false">Pipe_Tally!A269</f>
        <v>268</v>
      </c>
      <c r="B269" s="19" t="str">
        <f aca="false">Pipe_Tally!D269</f>
        <v>5in 19.50 ppf S-135 drill pipe</v>
      </c>
      <c r="C269" s="26" t="n">
        <f aca="false">Pipe_Tally!F269</f>
        <v>5</v>
      </c>
      <c r="D269" s="26" t="n">
        <f aca="false">Pipe_Tally!G269</f>
        <v>4.276</v>
      </c>
      <c r="E269" s="24" t="n">
        <f aca="false">Pipe_Tally!L269</f>
        <v>4251.42</v>
      </c>
      <c r="F269" s="24" t="n">
        <f aca="false">Pipe_Tally!M269</f>
        <v>4282.83</v>
      </c>
      <c r="G269" s="24" t="n">
        <f aca="false">MAX(0,MIN(F269,Well_Data!$B$10)-MAX(E269,Well_Data!$B$23))</f>
        <v>0</v>
      </c>
      <c r="H269" s="26" t="n">
        <f aca="false">G269*(Well_Data!$B$26^2-C269^2)/1029.4</f>
        <v>0</v>
      </c>
      <c r="I269" s="24" t="n">
        <f aca="false">MAX(0,MIN(F269,Well_Data!$B$23)-E269)</f>
        <v>31.4099999999999</v>
      </c>
      <c r="J269" s="26" t="n">
        <f aca="false">I269*(Well_Data!$B$25^2-C269^2)/1029.4</f>
        <v>1.53662336604818</v>
      </c>
      <c r="K269" s="25" t="n">
        <f aca="false">D269^2/1029.4</f>
        <v>0.0177619739654167</v>
      </c>
      <c r="L269" s="24" t="n">
        <f aca="false">F269-E269</f>
        <v>31.4099999999999</v>
      </c>
      <c r="M269" s="26" t="n">
        <f aca="false">K269*L269</f>
        <v>0.557903602253737</v>
      </c>
    </row>
    <row r="270" customFormat="false" ht="15" hidden="false" customHeight="true" outlineLevel="0" collapsed="false">
      <c r="A270" s="19" t="n">
        <f aca="false">Pipe_Tally!A270</f>
        <v>269</v>
      </c>
      <c r="B270" s="19" t="str">
        <f aca="false">Pipe_Tally!D270</f>
        <v>5in 19.50 ppf S-135 drill pipe</v>
      </c>
      <c r="C270" s="26" t="n">
        <f aca="false">Pipe_Tally!F270</f>
        <v>5</v>
      </c>
      <c r="D270" s="26" t="n">
        <f aca="false">Pipe_Tally!G270</f>
        <v>4.276</v>
      </c>
      <c r="E270" s="24" t="n">
        <f aca="false">Pipe_Tally!L270</f>
        <v>4220</v>
      </c>
      <c r="F270" s="24" t="n">
        <f aca="false">Pipe_Tally!M270</f>
        <v>4251.42</v>
      </c>
      <c r="G270" s="24" t="n">
        <f aca="false">MAX(0,MIN(F270,Well_Data!$B$10)-MAX(E270,Well_Data!$B$23))</f>
        <v>0</v>
      </c>
      <c r="H270" s="26" t="n">
        <f aca="false">G270*(Well_Data!$B$26^2-C270^2)/1029.4</f>
        <v>0</v>
      </c>
      <c r="I270" s="24" t="n">
        <f aca="false">MAX(0,MIN(F270,Well_Data!$B$23)-E270)</f>
        <v>31.4200000000001</v>
      </c>
      <c r="J270" s="26" t="n">
        <f aca="false">I270*(Well_Data!$B$25^2-C270^2)/1029.4</f>
        <v>1.53711258074607</v>
      </c>
      <c r="K270" s="25" t="n">
        <f aca="false">D270^2/1029.4</f>
        <v>0.0177619739654167</v>
      </c>
      <c r="L270" s="24" t="n">
        <f aca="false">F270-E270</f>
        <v>31.4200000000001</v>
      </c>
      <c r="M270" s="26" t="n">
        <f aca="false">K270*L270</f>
        <v>0.558081221993395</v>
      </c>
    </row>
    <row r="271" customFormat="false" ht="15" hidden="false" customHeight="true" outlineLevel="0" collapsed="false">
      <c r="A271" s="19" t="n">
        <f aca="false">Pipe_Tally!A271</f>
        <v>270</v>
      </c>
      <c r="B271" s="19" t="str">
        <f aca="false">Pipe_Tally!D271</f>
        <v>5in 19.50 ppf S-135 drill pipe</v>
      </c>
      <c r="C271" s="26" t="n">
        <f aca="false">Pipe_Tally!F271</f>
        <v>5</v>
      </c>
      <c r="D271" s="26" t="n">
        <f aca="false">Pipe_Tally!G271</f>
        <v>4.276</v>
      </c>
      <c r="E271" s="24" t="n">
        <f aca="false">Pipe_Tally!L271</f>
        <v>4188.92</v>
      </c>
      <c r="F271" s="24" t="n">
        <f aca="false">Pipe_Tally!M271</f>
        <v>4220</v>
      </c>
      <c r="G271" s="24" t="n">
        <f aca="false">MAX(0,MIN(F271,Well_Data!$B$10)-MAX(E271,Well_Data!$B$23))</f>
        <v>0</v>
      </c>
      <c r="H271" s="26" t="n">
        <f aca="false">G271*(Well_Data!$B$26^2-C271^2)/1029.4</f>
        <v>0</v>
      </c>
      <c r="I271" s="24" t="n">
        <f aca="false">MAX(0,MIN(F271,Well_Data!$B$23)-E271)</f>
        <v>31.0799999999999</v>
      </c>
      <c r="J271" s="26" t="n">
        <f aca="false">I271*(Well_Data!$B$25^2-C271^2)/1029.4</f>
        <v>1.52047928101806</v>
      </c>
      <c r="K271" s="25" t="n">
        <f aca="false">D271^2/1029.4</f>
        <v>0.0177619739654167</v>
      </c>
      <c r="L271" s="24" t="n">
        <f aca="false">F271-E271</f>
        <v>31.0799999999999</v>
      </c>
      <c r="M271" s="26" t="n">
        <f aca="false">K271*L271</f>
        <v>0.552042150845151</v>
      </c>
    </row>
    <row r="272" customFormat="false" ht="15" hidden="false" customHeight="true" outlineLevel="0" collapsed="false">
      <c r="A272" s="19" t="n">
        <f aca="false">Pipe_Tally!A272</f>
        <v>271</v>
      </c>
      <c r="B272" s="19" t="str">
        <f aca="false">Pipe_Tally!D272</f>
        <v>5in 19.50 ppf S-135 drill pipe</v>
      </c>
      <c r="C272" s="26" t="n">
        <f aca="false">Pipe_Tally!F272</f>
        <v>5</v>
      </c>
      <c r="D272" s="26" t="n">
        <f aca="false">Pipe_Tally!G272</f>
        <v>4.276</v>
      </c>
      <c r="E272" s="24" t="n">
        <f aca="false">Pipe_Tally!L272</f>
        <v>4157.3</v>
      </c>
      <c r="F272" s="24" t="n">
        <f aca="false">Pipe_Tally!M272</f>
        <v>4188.92</v>
      </c>
      <c r="G272" s="24" t="n">
        <f aca="false">MAX(0,MIN(F272,Well_Data!$B$10)-MAX(E272,Well_Data!$B$23))</f>
        <v>0</v>
      </c>
      <c r="H272" s="26" t="n">
        <f aca="false">G272*(Well_Data!$B$26^2-C272^2)/1029.4</f>
        <v>0</v>
      </c>
      <c r="I272" s="24" t="n">
        <f aca="false">MAX(0,MIN(F272,Well_Data!$B$23)-E272)</f>
        <v>31.6199999999999</v>
      </c>
      <c r="J272" s="26" t="n">
        <f aca="false">I272*(Well_Data!$B$25^2-C272^2)/1029.4</f>
        <v>1.54689687470371</v>
      </c>
      <c r="K272" s="25" t="n">
        <f aca="false">D272^2/1029.4</f>
        <v>0.0177619739654167</v>
      </c>
      <c r="L272" s="24" t="n">
        <f aca="false">F272-E272</f>
        <v>31.6199999999999</v>
      </c>
      <c r="M272" s="26" t="n">
        <f aca="false">K272*L272</f>
        <v>0.561633616786476</v>
      </c>
    </row>
    <row r="273" customFormat="false" ht="15" hidden="false" customHeight="true" outlineLevel="0" collapsed="false">
      <c r="A273" s="19" t="n">
        <f aca="false">Pipe_Tally!A273</f>
        <v>272</v>
      </c>
      <c r="B273" s="19" t="str">
        <f aca="false">Pipe_Tally!D273</f>
        <v>5in 19.50 ppf S-135 drill pipe</v>
      </c>
      <c r="C273" s="26" t="n">
        <f aca="false">Pipe_Tally!F273</f>
        <v>5</v>
      </c>
      <c r="D273" s="26" t="n">
        <f aca="false">Pipe_Tally!G273</f>
        <v>4.276</v>
      </c>
      <c r="E273" s="24" t="n">
        <f aca="false">Pipe_Tally!L273</f>
        <v>4125.73</v>
      </c>
      <c r="F273" s="24" t="n">
        <f aca="false">Pipe_Tally!M273</f>
        <v>4157.3</v>
      </c>
      <c r="G273" s="24" t="n">
        <f aca="false">MAX(0,MIN(F273,Well_Data!$B$10)-MAX(E273,Well_Data!$B$23))</f>
        <v>0</v>
      </c>
      <c r="H273" s="26" t="n">
        <f aca="false">G273*(Well_Data!$B$26^2-C273^2)/1029.4</f>
        <v>0</v>
      </c>
      <c r="I273" s="24" t="n">
        <f aca="false">MAX(0,MIN(F273,Well_Data!$B$23)-E273)</f>
        <v>31.5699999999997</v>
      </c>
      <c r="J273" s="26" t="n">
        <f aca="false">I273*(Well_Data!$B$25^2-C273^2)/1029.4</f>
        <v>1.54445080121429</v>
      </c>
      <c r="K273" s="25" t="n">
        <f aca="false">D273^2/1029.4</f>
        <v>0.0177619739654167</v>
      </c>
      <c r="L273" s="24" t="n">
        <f aca="false">F273-E273</f>
        <v>31.5699999999997</v>
      </c>
      <c r="M273" s="26" t="n">
        <f aca="false">K273*L273</f>
        <v>0.560745518088201</v>
      </c>
    </row>
    <row r="274" customFormat="false" ht="15" hidden="false" customHeight="true" outlineLevel="0" collapsed="false">
      <c r="A274" s="19" t="n">
        <f aca="false">Pipe_Tally!A274</f>
        <v>273</v>
      </c>
      <c r="B274" s="19" t="str">
        <f aca="false">Pipe_Tally!D274</f>
        <v>5in 19.50 ppf S-135 drill pipe</v>
      </c>
      <c r="C274" s="26" t="n">
        <f aca="false">Pipe_Tally!F274</f>
        <v>5</v>
      </c>
      <c r="D274" s="26" t="n">
        <f aca="false">Pipe_Tally!G274</f>
        <v>4.276</v>
      </c>
      <c r="E274" s="24" t="n">
        <f aca="false">Pipe_Tally!L274</f>
        <v>4094.27</v>
      </c>
      <c r="F274" s="24" t="n">
        <f aca="false">Pipe_Tally!M274</f>
        <v>4125.73</v>
      </c>
      <c r="G274" s="24" t="n">
        <f aca="false">MAX(0,MIN(F274,Well_Data!$B$10)-MAX(E274,Well_Data!$B$23))</f>
        <v>0</v>
      </c>
      <c r="H274" s="26" t="n">
        <f aca="false">G274*(Well_Data!$B$26^2-C274^2)/1029.4</f>
        <v>0</v>
      </c>
      <c r="I274" s="24" t="n">
        <f aca="false">MAX(0,MIN(F274,Well_Data!$B$23)-E274)</f>
        <v>31.46</v>
      </c>
      <c r="J274" s="26" t="n">
        <f aca="false">I274*(Well_Data!$B$25^2-C274^2)/1029.4</f>
        <v>1.5390694395376</v>
      </c>
      <c r="K274" s="25" t="n">
        <f aca="false">D274^2/1029.4</f>
        <v>0.0177619739654167</v>
      </c>
      <c r="L274" s="24" t="n">
        <f aca="false">F274-E274</f>
        <v>31.46</v>
      </c>
      <c r="M274" s="26" t="n">
        <f aca="false">K274*L274</f>
        <v>0.558791700952011</v>
      </c>
    </row>
    <row r="275" customFormat="false" ht="15" hidden="false" customHeight="true" outlineLevel="0" collapsed="false">
      <c r="A275" s="19" t="n">
        <f aca="false">Pipe_Tally!A275</f>
        <v>274</v>
      </c>
      <c r="B275" s="19" t="str">
        <f aca="false">Pipe_Tally!D275</f>
        <v>5in 19.50 ppf S-135 drill pipe</v>
      </c>
      <c r="C275" s="26" t="n">
        <f aca="false">Pipe_Tally!F275</f>
        <v>5</v>
      </c>
      <c r="D275" s="26" t="n">
        <f aca="false">Pipe_Tally!G275</f>
        <v>4.276</v>
      </c>
      <c r="E275" s="24" t="n">
        <f aca="false">Pipe_Tally!L275</f>
        <v>4062.64000000001</v>
      </c>
      <c r="F275" s="24" t="n">
        <f aca="false">Pipe_Tally!M275</f>
        <v>4094.27000000001</v>
      </c>
      <c r="G275" s="24" t="n">
        <f aca="false">MAX(0,MIN(F275,Well_Data!$B$10)-MAX(E275,Well_Data!$B$23))</f>
        <v>0</v>
      </c>
      <c r="H275" s="26" t="n">
        <f aca="false">G275*(Well_Data!$B$26^2-C275^2)/1029.4</f>
        <v>0</v>
      </c>
      <c r="I275" s="24" t="n">
        <f aca="false">MAX(0,MIN(F275,Well_Data!$B$23)-E275)</f>
        <v>31.6300000000001</v>
      </c>
      <c r="J275" s="26" t="n">
        <f aca="false">I275*(Well_Data!$B$25^2-C275^2)/1029.4</f>
        <v>1.5473860894016</v>
      </c>
      <c r="K275" s="25" t="n">
        <f aca="false">D275^2/1029.4</f>
        <v>0.0177619739654167</v>
      </c>
      <c r="L275" s="24" t="n">
        <f aca="false">F275-E275</f>
        <v>31.6300000000001</v>
      </c>
      <c r="M275" s="26" t="n">
        <f aca="false">K275*L275</f>
        <v>0.561811236526134</v>
      </c>
    </row>
    <row r="276" customFormat="false" ht="15" hidden="false" customHeight="true" outlineLevel="0" collapsed="false">
      <c r="A276" s="19" t="n">
        <f aca="false">Pipe_Tally!A276</f>
        <v>275</v>
      </c>
      <c r="B276" s="19" t="str">
        <f aca="false">Pipe_Tally!D276</f>
        <v>5in 19.50 ppf S-135 drill pipe</v>
      </c>
      <c r="C276" s="26" t="n">
        <f aca="false">Pipe_Tally!F276</f>
        <v>5</v>
      </c>
      <c r="D276" s="26" t="n">
        <f aca="false">Pipe_Tally!G276</f>
        <v>4.276</v>
      </c>
      <c r="E276" s="24" t="n">
        <f aca="false">Pipe_Tally!L276</f>
        <v>4032.05</v>
      </c>
      <c r="F276" s="24" t="n">
        <f aca="false">Pipe_Tally!M276</f>
        <v>4062.64000000001</v>
      </c>
      <c r="G276" s="24" t="n">
        <f aca="false">MAX(0,MIN(F276,Well_Data!$B$10)-MAX(E276,Well_Data!$B$23))</f>
        <v>0</v>
      </c>
      <c r="H276" s="26" t="n">
        <f aca="false">G276*(Well_Data!$B$26^2-C276^2)/1029.4</f>
        <v>0</v>
      </c>
      <c r="I276" s="24" t="n">
        <f aca="false">MAX(0,MIN(F276,Well_Data!$B$23)-E276)</f>
        <v>30.5900000000001</v>
      </c>
      <c r="J276" s="26" t="n">
        <f aca="false">I276*(Well_Data!$B$25^2-C276^2)/1029.4</f>
        <v>1.49650776082185</v>
      </c>
      <c r="K276" s="25" t="n">
        <f aca="false">D276^2/1029.4</f>
        <v>0.0177619739654167</v>
      </c>
      <c r="L276" s="24" t="n">
        <f aca="false">F276-E276</f>
        <v>30.5900000000001</v>
      </c>
      <c r="M276" s="26" t="n">
        <f aca="false">K276*L276</f>
        <v>0.543338783602101</v>
      </c>
    </row>
    <row r="277" customFormat="false" ht="15" hidden="false" customHeight="true" outlineLevel="0" collapsed="false">
      <c r="A277" s="19" t="n">
        <f aca="false">Pipe_Tally!A277</f>
        <v>276</v>
      </c>
      <c r="B277" s="19" t="str">
        <f aca="false">Pipe_Tally!D277</f>
        <v>5in 19.50 ppf S-135 drill pipe</v>
      </c>
      <c r="C277" s="26" t="n">
        <f aca="false">Pipe_Tally!F277</f>
        <v>5</v>
      </c>
      <c r="D277" s="26" t="n">
        <f aca="false">Pipe_Tally!G277</f>
        <v>4.276</v>
      </c>
      <c r="E277" s="24" t="n">
        <f aca="false">Pipe_Tally!L277</f>
        <v>4000.98000000001</v>
      </c>
      <c r="F277" s="24" t="n">
        <f aca="false">Pipe_Tally!M277</f>
        <v>4032.05000000001</v>
      </c>
      <c r="G277" s="24" t="n">
        <f aca="false">MAX(0,MIN(F277,Well_Data!$B$10)-MAX(E277,Well_Data!$B$23))</f>
        <v>0</v>
      </c>
      <c r="H277" s="26" t="n">
        <f aca="false">G277*(Well_Data!$B$26^2-C277^2)/1029.4</f>
        <v>0</v>
      </c>
      <c r="I277" s="24" t="n">
        <f aca="false">MAX(0,MIN(F277,Well_Data!$B$23)-E277)</f>
        <v>31.0700000000002</v>
      </c>
      <c r="J277" s="26" t="n">
        <f aca="false">I277*(Well_Data!$B$25^2-C277^2)/1029.4</f>
        <v>1.51999006632019</v>
      </c>
      <c r="K277" s="25" t="n">
        <f aca="false">D277^2/1029.4</f>
        <v>0.0177619739654167</v>
      </c>
      <c r="L277" s="24" t="n">
        <f aca="false">F277-E277</f>
        <v>31.0700000000002</v>
      </c>
      <c r="M277" s="26" t="n">
        <f aca="false">K277*L277</f>
        <v>0.551864531105501</v>
      </c>
    </row>
    <row r="278" customFormat="false" ht="15" hidden="false" customHeight="true" outlineLevel="0" collapsed="false">
      <c r="A278" s="19" t="n">
        <f aca="false">Pipe_Tally!A278</f>
        <v>277</v>
      </c>
      <c r="B278" s="19" t="str">
        <f aca="false">Pipe_Tally!D278</f>
        <v>5in 19.50 ppf S-135 drill pipe</v>
      </c>
      <c r="C278" s="26" t="n">
        <f aca="false">Pipe_Tally!F278</f>
        <v>5</v>
      </c>
      <c r="D278" s="26" t="n">
        <f aca="false">Pipe_Tally!G278</f>
        <v>4.276</v>
      </c>
      <c r="E278" s="24" t="n">
        <f aca="false">Pipe_Tally!L278</f>
        <v>3969.96</v>
      </c>
      <c r="F278" s="24" t="n">
        <f aca="false">Pipe_Tally!M278</f>
        <v>4000.98</v>
      </c>
      <c r="G278" s="24" t="n">
        <f aca="false">MAX(0,MIN(F278,Well_Data!$B$10)-MAX(E278,Well_Data!$B$23))</f>
        <v>0</v>
      </c>
      <c r="H278" s="26" t="n">
        <f aca="false">G278*(Well_Data!$B$26^2-C278^2)/1029.4</f>
        <v>0</v>
      </c>
      <c r="I278" s="24" t="n">
        <f aca="false">MAX(0,MIN(F278,Well_Data!$B$23)-E278)</f>
        <v>31.02</v>
      </c>
      <c r="J278" s="26" t="n">
        <f aca="false">I278*(Well_Data!$B$25^2-C278^2)/1029.4</f>
        <v>1.51754399283077</v>
      </c>
      <c r="K278" s="25" t="n">
        <f aca="false">D278^2/1029.4</f>
        <v>0.0177619739654167</v>
      </c>
      <c r="L278" s="24" t="n">
        <f aca="false">F278-E278</f>
        <v>31.02</v>
      </c>
      <c r="M278" s="26" t="n">
        <f aca="false">K278*L278</f>
        <v>0.550976432407227</v>
      </c>
    </row>
    <row r="279" customFormat="false" ht="15" hidden="false" customHeight="true" outlineLevel="0" collapsed="false">
      <c r="A279" s="19" t="n">
        <f aca="false">Pipe_Tally!A279</f>
        <v>278</v>
      </c>
      <c r="B279" s="19" t="str">
        <f aca="false">Pipe_Tally!D279</f>
        <v>5in 19.50 ppf S-135 drill pipe</v>
      </c>
      <c r="C279" s="26" t="n">
        <f aca="false">Pipe_Tally!F279</f>
        <v>5</v>
      </c>
      <c r="D279" s="26" t="n">
        <f aca="false">Pipe_Tally!G279</f>
        <v>4.276</v>
      </c>
      <c r="E279" s="24" t="n">
        <f aca="false">Pipe_Tally!L279</f>
        <v>3938.86</v>
      </c>
      <c r="F279" s="24" t="n">
        <f aca="false">Pipe_Tally!M279</f>
        <v>3969.96</v>
      </c>
      <c r="G279" s="24" t="n">
        <f aca="false">MAX(0,MIN(F279,Well_Data!$B$10)-MAX(E279,Well_Data!$B$23))</f>
        <v>0</v>
      </c>
      <c r="H279" s="26" t="n">
        <f aca="false">G279*(Well_Data!$B$26^2-C279^2)/1029.4</f>
        <v>0</v>
      </c>
      <c r="I279" s="24" t="n">
        <f aca="false">MAX(0,MIN(F279,Well_Data!$B$23)-E279)</f>
        <v>31.0999999999999</v>
      </c>
      <c r="J279" s="26" t="n">
        <f aca="false">I279*(Well_Data!$B$25^2-C279^2)/1029.4</f>
        <v>1.52145771041383</v>
      </c>
      <c r="K279" s="25" t="n">
        <f aca="false">D279^2/1029.4</f>
        <v>0.0177619739654167</v>
      </c>
      <c r="L279" s="24" t="n">
        <f aca="false">F279-E279</f>
        <v>31.0999999999999</v>
      </c>
      <c r="M279" s="26" t="n">
        <f aca="false">K279*L279</f>
        <v>0.552397390324459</v>
      </c>
    </row>
    <row r="280" customFormat="false" ht="15" hidden="false" customHeight="true" outlineLevel="0" collapsed="false">
      <c r="A280" s="19" t="n">
        <f aca="false">Pipe_Tally!A280</f>
        <v>279</v>
      </c>
      <c r="B280" s="19" t="str">
        <f aca="false">Pipe_Tally!D280</f>
        <v>5in 19.50 ppf S-135 drill pipe</v>
      </c>
      <c r="C280" s="26" t="n">
        <f aca="false">Pipe_Tally!F280</f>
        <v>5</v>
      </c>
      <c r="D280" s="26" t="n">
        <f aca="false">Pipe_Tally!G280</f>
        <v>4.276</v>
      </c>
      <c r="E280" s="24" t="n">
        <f aca="false">Pipe_Tally!L280</f>
        <v>3907.46</v>
      </c>
      <c r="F280" s="24" t="n">
        <f aca="false">Pipe_Tally!M280</f>
        <v>3938.86</v>
      </c>
      <c r="G280" s="24" t="n">
        <f aca="false">MAX(0,MIN(F280,Well_Data!$B$10)-MAX(E280,Well_Data!$B$23))</f>
        <v>0</v>
      </c>
      <c r="H280" s="26" t="n">
        <f aca="false">G280*(Well_Data!$B$26^2-C280^2)/1029.4</f>
        <v>0</v>
      </c>
      <c r="I280" s="24" t="n">
        <f aca="false">MAX(0,MIN(F280,Well_Data!$B$23)-E280)</f>
        <v>31.4000000000001</v>
      </c>
      <c r="J280" s="26" t="n">
        <f aca="false">I280*(Well_Data!$B$25^2-C280^2)/1029.4</f>
        <v>1.53613415135031</v>
      </c>
      <c r="K280" s="25" t="n">
        <f aca="false">D280^2/1029.4</f>
        <v>0.0177619739654167</v>
      </c>
      <c r="L280" s="24" t="n">
        <f aca="false">F280-E280</f>
        <v>31.4000000000001</v>
      </c>
      <c r="M280" s="26" t="n">
        <f aca="false">K280*L280</f>
        <v>0.557725982514087</v>
      </c>
    </row>
    <row r="281" customFormat="false" ht="15" hidden="false" customHeight="true" outlineLevel="0" collapsed="false">
      <c r="A281" s="19" t="n">
        <f aca="false">Pipe_Tally!A281</f>
        <v>280</v>
      </c>
      <c r="B281" s="19" t="str">
        <f aca="false">Pipe_Tally!D281</f>
        <v>5in 19.50 ppf S-135 drill pipe</v>
      </c>
      <c r="C281" s="26" t="n">
        <f aca="false">Pipe_Tally!F281</f>
        <v>5</v>
      </c>
      <c r="D281" s="26" t="n">
        <f aca="false">Pipe_Tally!G281</f>
        <v>4.276</v>
      </c>
      <c r="E281" s="24" t="n">
        <f aca="false">Pipe_Tally!L281</f>
        <v>3876.2</v>
      </c>
      <c r="F281" s="24" t="n">
        <f aca="false">Pipe_Tally!M281</f>
        <v>3907.46</v>
      </c>
      <c r="G281" s="24" t="n">
        <f aca="false">MAX(0,MIN(F281,Well_Data!$B$10)-MAX(E281,Well_Data!$B$23))</f>
        <v>0</v>
      </c>
      <c r="H281" s="26" t="n">
        <f aca="false">G281*(Well_Data!$B$26^2-C281^2)/1029.4</f>
        <v>0</v>
      </c>
      <c r="I281" s="24" t="n">
        <f aca="false">MAX(0,MIN(F281,Well_Data!$B$23)-E281)</f>
        <v>31.2600000000002</v>
      </c>
      <c r="J281" s="26" t="n">
        <f aca="false">I281*(Well_Data!$B$25^2-C281^2)/1029.4</f>
        <v>1.52928514557996</v>
      </c>
      <c r="K281" s="25" t="n">
        <f aca="false">D281^2/1029.4</f>
        <v>0.0177619739654167</v>
      </c>
      <c r="L281" s="24" t="n">
        <f aca="false">F281-E281</f>
        <v>31.2600000000002</v>
      </c>
      <c r="M281" s="26" t="n">
        <f aca="false">K281*L281</f>
        <v>0.555239306158931</v>
      </c>
    </row>
    <row r="282" customFormat="false" ht="15" hidden="false" customHeight="true" outlineLevel="0" collapsed="false">
      <c r="A282" s="19" t="n">
        <f aca="false">Pipe_Tally!A282</f>
        <v>281</v>
      </c>
      <c r="B282" s="19" t="str">
        <f aca="false">Pipe_Tally!D282</f>
        <v>5in 19.50 ppf S-135 drill pipe</v>
      </c>
      <c r="C282" s="26" t="n">
        <f aca="false">Pipe_Tally!F282</f>
        <v>5</v>
      </c>
      <c r="D282" s="26" t="n">
        <f aca="false">Pipe_Tally!G282</f>
        <v>4.276</v>
      </c>
      <c r="E282" s="24" t="n">
        <f aca="false">Pipe_Tally!L282</f>
        <v>3845.79</v>
      </c>
      <c r="F282" s="24" t="n">
        <f aca="false">Pipe_Tally!M282</f>
        <v>3876.2</v>
      </c>
      <c r="G282" s="24" t="n">
        <f aca="false">MAX(0,MIN(F282,Well_Data!$B$10)-MAX(E282,Well_Data!$B$23))</f>
        <v>0</v>
      </c>
      <c r="H282" s="26" t="n">
        <f aca="false">G282*(Well_Data!$B$26^2-C282^2)/1029.4</f>
        <v>0</v>
      </c>
      <c r="I282" s="24" t="n">
        <f aca="false">MAX(0,MIN(F282,Well_Data!$B$23)-E282)</f>
        <v>30.4099999999999</v>
      </c>
      <c r="J282" s="26" t="n">
        <f aca="false">I282*(Well_Data!$B$25^2-C282^2)/1029.4</f>
        <v>1.48770189625995</v>
      </c>
      <c r="K282" s="25" t="n">
        <f aca="false">D282^2/1029.4</f>
        <v>0.0177619739654167</v>
      </c>
      <c r="L282" s="24" t="n">
        <f aca="false">F282-E282</f>
        <v>30.4099999999999</v>
      </c>
      <c r="M282" s="26" t="n">
        <f aca="false">K282*L282</f>
        <v>0.540141628288321</v>
      </c>
    </row>
    <row r="283" customFormat="false" ht="15" hidden="false" customHeight="true" outlineLevel="0" collapsed="false">
      <c r="A283" s="19" t="n">
        <f aca="false">Pipe_Tally!A283</f>
        <v>282</v>
      </c>
      <c r="B283" s="19" t="str">
        <f aca="false">Pipe_Tally!D283</f>
        <v>5in 19.50 ppf S-135 drill pipe</v>
      </c>
      <c r="C283" s="26" t="n">
        <f aca="false">Pipe_Tally!F283</f>
        <v>5</v>
      </c>
      <c r="D283" s="26" t="n">
        <f aca="false">Pipe_Tally!G283</f>
        <v>4.276</v>
      </c>
      <c r="E283" s="24" t="n">
        <f aca="false">Pipe_Tally!L283</f>
        <v>3814.42</v>
      </c>
      <c r="F283" s="24" t="n">
        <f aca="false">Pipe_Tally!M283</f>
        <v>3845.79</v>
      </c>
      <c r="G283" s="24" t="n">
        <f aca="false">MAX(0,MIN(F283,Well_Data!$B$10)-MAX(E283,Well_Data!$B$23))</f>
        <v>0</v>
      </c>
      <c r="H283" s="26" t="n">
        <f aca="false">G283*(Well_Data!$B$26^2-C283^2)/1029.4</f>
        <v>0</v>
      </c>
      <c r="I283" s="24" t="n">
        <f aca="false">MAX(0,MIN(F283,Well_Data!$B$23)-E283)</f>
        <v>31.3699999999999</v>
      </c>
      <c r="J283" s="26" t="n">
        <f aca="false">I283*(Well_Data!$B$25^2-C283^2)/1029.4</f>
        <v>1.53466650725665</v>
      </c>
      <c r="K283" s="25" t="n">
        <f aca="false">D283^2/1029.4</f>
        <v>0.0177619739654167</v>
      </c>
      <c r="L283" s="24" t="n">
        <f aca="false">F283-E283</f>
        <v>31.3699999999999</v>
      </c>
      <c r="M283" s="26" t="n">
        <f aca="false">K283*L283</f>
        <v>0.557193123295121</v>
      </c>
    </row>
    <row r="284" customFormat="false" ht="15" hidden="false" customHeight="true" outlineLevel="0" collapsed="false">
      <c r="A284" s="19" t="n">
        <f aca="false">Pipe_Tally!A284</f>
        <v>283</v>
      </c>
      <c r="B284" s="19" t="str">
        <f aca="false">Pipe_Tally!D284</f>
        <v>5in 19.50 ppf S-135 drill pipe</v>
      </c>
      <c r="C284" s="26" t="n">
        <f aca="false">Pipe_Tally!F284</f>
        <v>5</v>
      </c>
      <c r="D284" s="26" t="n">
        <f aca="false">Pipe_Tally!G284</f>
        <v>4.276</v>
      </c>
      <c r="E284" s="24" t="n">
        <f aca="false">Pipe_Tally!L284</f>
        <v>3783.37</v>
      </c>
      <c r="F284" s="24" t="n">
        <f aca="false">Pipe_Tally!M284</f>
        <v>3814.42</v>
      </c>
      <c r="G284" s="24" t="n">
        <f aca="false">MAX(0,MIN(F284,Well_Data!$B$10)-MAX(E284,Well_Data!$B$23))</f>
        <v>0</v>
      </c>
      <c r="H284" s="26" t="n">
        <f aca="false">G284*(Well_Data!$B$26^2-C284^2)/1029.4</f>
        <v>0</v>
      </c>
      <c r="I284" s="24" t="n">
        <f aca="false">MAX(0,MIN(F284,Well_Data!$B$23)-E284)</f>
        <v>31.0500000000002</v>
      </c>
      <c r="J284" s="26" t="n">
        <f aca="false">I284*(Well_Data!$B$25^2-C284^2)/1029.4</f>
        <v>1.51901163692443</v>
      </c>
      <c r="K284" s="25" t="n">
        <f aca="false">D284^2/1029.4</f>
        <v>0.0177619739654167</v>
      </c>
      <c r="L284" s="24" t="n">
        <f aca="false">F284-E284</f>
        <v>31.0500000000002</v>
      </c>
      <c r="M284" s="26" t="n">
        <f aca="false">K284*L284</f>
        <v>0.551509291626193</v>
      </c>
    </row>
    <row r="285" customFormat="false" ht="15" hidden="false" customHeight="true" outlineLevel="0" collapsed="false">
      <c r="A285" s="19" t="n">
        <f aca="false">Pipe_Tally!A285</f>
        <v>284</v>
      </c>
      <c r="B285" s="19" t="str">
        <f aca="false">Pipe_Tally!D285</f>
        <v>5in 19.50 ppf S-135 drill pipe</v>
      </c>
      <c r="C285" s="26" t="n">
        <f aca="false">Pipe_Tally!F285</f>
        <v>5</v>
      </c>
      <c r="D285" s="26" t="n">
        <f aca="false">Pipe_Tally!G285</f>
        <v>4.276</v>
      </c>
      <c r="E285" s="24" t="n">
        <f aca="false">Pipe_Tally!L285</f>
        <v>3751.90000000001</v>
      </c>
      <c r="F285" s="24" t="n">
        <f aca="false">Pipe_Tally!M285</f>
        <v>3783.37000000001</v>
      </c>
      <c r="G285" s="24" t="n">
        <f aca="false">MAX(0,MIN(F285,Well_Data!$B$10)-MAX(E285,Well_Data!$B$23))</f>
        <v>0</v>
      </c>
      <c r="H285" s="26" t="n">
        <f aca="false">G285*(Well_Data!$B$26^2-C285^2)/1029.4</f>
        <v>0</v>
      </c>
      <c r="I285" s="24" t="n">
        <f aca="false">MAX(0,MIN(F285,Well_Data!$B$23)-E285)</f>
        <v>31.4699999999998</v>
      </c>
      <c r="J285" s="26" t="n">
        <f aca="false">I285*(Well_Data!$B$25^2-C285^2)/1029.4</f>
        <v>1.53955865423547</v>
      </c>
      <c r="K285" s="25" t="n">
        <f aca="false">D285^2/1029.4</f>
        <v>0.0177619739654167</v>
      </c>
      <c r="L285" s="24" t="n">
        <f aca="false">F285-E285</f>
        <v>31.4699999999998</v>
      </c>
      <c r="M285" s="26" t="n">
        <f aca="false">K285*L285</f>
        <v>0.558969320691661</v>
      </c>
    </row>
    <row r="286" customFormat="false" ht="15" hidden="false" customHeight="true" outlineLevel="0" collapsed="false">
      <c r="A286" s="19" t="n">
        <f aca="false">Pipe_Tally!A286</f>
        <v>285</v>
      </c>
      <c r="B286" s="19" t="str">
        <f aca="false">Pipe_Tally!D286</f>
        <v>5in 19.50 ppf S-135 drill pipe</v>
      </c>
      <c r="C286" s="26" t="n">
        <f aca="false">Pipe_Tally!F286</f>
        <v>5</v>
      </c>
      <c r="D286" s="26" t="n">
        <f aca="false">Pipe_Tally!G286</f>
        <v>4.276</v>
      </c>
      <c r="E286" s="24" t="n">
        <f aca="false">Pipe_Tally!L286</f>
        <v>3720.52000000001</v>
      </c>
      <c r="F286" s="24" t="n">
        <f aca="false">Pipe_Tally!M286</f>
        <v>3751.90000000001</v>
      </c>
      <c r="G286" s="24" t="n">
        <f aca="false">MAX(0,MIN(F286,Well_Data!$B$10)-MAX(E286,Well_Data!$B$23))</f>
        <v>0</v>
      </c>
      <c r="H286" s="26" t="n">
        <f aca="false">G286*(Well_Data!$B$26^2-C286^2)/1029.4</f>
        <v>0</v>
      </c>
      <c r="I286" s="24" t="n">
        <f aca="false">MAX(0,MIN(F286,Well_Data!$B$23)-E286)</f>
        <v>31.3800000000001</v>
      </c>
      <c r="J286" s="26" t="n">
        <f aca="false">I286*(Well_Data!$B$25^2-C286^2)/1029.4</f>
        <v>1.53515572195454</v>
      </c>
      <c r="K286" s="25" t="n">
        <f aca="false">D286^2/1029.4</f>
        <v>0.0177619739654167</v>
      </c>
      <c r="L286" s="24" t="n">
        <f aca="false">F286-E286</f>
        <v>31.3800000000001</v>
      </c>
      <c r="M286" s="26" t="n">
        <f aca="false">K286*L286</f>
        <v>0.557370743034779</v>
      </c>
    </row>
    <row r="287" customFormat="false" ht="15" hidden="false" customHeight="true" outlineLevel="0" collapsed="false">
      <c r="A287" s="19" t="n">
        <f aca="false">Pipe_Tally!A287</f>
        <v>286</v>
      </c>
      <c r="B287" s="19" t="str">
        <f aca="false">Pipe_Tally!D287</f>
        <v>5in 19.50 ppf S-135 drill pipe</v>
      </c>
      <c r="C287" s="26" t="n">
        <f aca="false">Pipe_Tally!F287</f>
        <v>5</v>
      </c>
      <c r="D287" s="26" t="n">
        <f aca="false">Pipe_Tally!G287</f>
        <v>4.276</v>
      </c>
      <c r="E287" s="24" t="n">
        <f aca="false">Pipe_Tally!L287</f>
        <v>3688.70000000001</v>
      </c>
      <c r="F287" s="24" t="n">
        <f aca="false">Pipe_Tally!M287</f>
        <v>3720.52000000001</v>
      </c>
      <c r="G287" s="24" t="n">
        <f aca="false">MAX(0,MIN(F287,Well_Data!$B$10)-MAX(E287,Well_Data!$B$23))</f>
        <v>0</v>
      </c>
      <c r="H287" s="26" t="n">
        <f aca="false">G287*(Well_Data!$B$26^2-C287^2)/1029.4</f>
        <v>0</v>
      </c>
      <c r="I287" s="24" t="n">
        <f aca="false">MAX(0,MIN(F287,Well_Data!$B$23)-E287)</f>
        <v>31.8200000000002</v>
      </c>
      <c r="J287" s="26" t="n">
        <f aca="false">I287*(Well_Data!$B$25^2-C287^2)/1029.4</f>
        <v>1.55668116866136</v>
      </c>
      <c r="K287" s="25" t="n">
        <f aca="false">D287^2/1029.4</f>
        <v>0.0177619739654167</v>
      </c>
      <c r="L287" s="24" t="n">
        <f aca="false">F287-E287</f>
        <v>31.8200000000002</v>
      </c>
      <c r="M287" s="26" t="n">
        <f aca="false">K287*L287</f>
        <v>0.565186011579564</v>
      </c>
    </row>
    <row r="288" customFormat="false" ht="15" hidden="false" customHeight="true" outlineLevel="0" collapsed="false">
      <c r="A288" s="19" t="n">
        <f aca="false">Pipe_Tally!A288</f>
        <v>287</v>
      </c>
      <c r="B288" s="19" t="str">
        <f aca="false">Pipe_Tally!D288</f>
        <v>5in 19.50 ppf S-135 drill pipe</v>
      </c>
      <c r="C288" s="26" t="n">
        <f aca="false">Pipe_Tally!F288</f>
        <v>5</v>
      </c>
      <c r="D288" s="26" t="n">
        <f aca="false">Pipe_Tally!G288</f>
        <v>4.276</v>
      </c>
      <c r="E288" s="24" t="n">
        <f aca="false">Pipe_Tally!L288</f>
        <v>3657.35000000001</v>
      </c>
      <c r="F288" s="24" t="n">
        <f aca="false">Pipe_Tally!M288</f>
        <v>3688.70000000001</v>
      </c>
      <c r="G288" s="24" t="n">
        <f aca="false">MAX(0,MIN(F288,Well_Data!$B$10)-MAX(E288,Well_Data!$B$23))</f>
        <v>0</v>
      </c>
      <c r="H288" s="26" t="n">
        <f aca="false">G288*(Well_Data!$B$26^2-C288^2)/1029.4</f>
        <v>0</v>
      </c>
      <c r="I288" s="24" t="n">
        <f aca="false">MAX(0,MIN(F288,Well_Data!$B$23)-E288)</f>
        <v>31.3499999999999</v>
      </c>
      <c r="J288" s="26" t="n">
        <f aca="false">I288*(Well_Data!$B$25^2-C288^2)/1029.4</f>
        <v>1.53368807786089</v>
      </c>
      <c r="K288" s="25" t="n">
        <f aca="false">D288^2/1029.4</f>
        <v>0.0177619739654167</v>
      </c>
      <c r="L288" s="24" t="n">
        <f aca="false">F288-E288</f>
        <v>31.3499999999999</v>
      </c>
      <c r="M288" s="26" t="n">
        <f aca="false">K288*L288</f>
        <v>0.556837883815813</v>
      </c>
    </row>
    <row r="289" customFormat="false" ht="15" hidden="false" customHeight="true" outlineLevel="0" collapsed="false">
      <c r="A289" s="19" t="n">
        <f aca="false">Pipe_Tally!A289</f>
        <v>288</v>
      </c>
      <c r="B289" s="19" t="str">
        <f aca="false">Pipe_Tally!D289</f>
        <v>5in 19.50 ppf S-135 drill pipe</v>
      </c>
      <c r="C289" s="26" t="n">
        <f aca="false">Pipe_Tally!F289</f>
        <v>5</v>
      </c>
      <c r="D289" s="26" t="n">
        <f aca="false">Pipe_Tally!G289</f>
        <v>4.276</v>
      </c>
      <c r="E289" s="24" t="n">
        <f aca="false">Pipe_Tally!L289</f>
        <v>3626.09000000001</v>
      </c>
      <c r="F289" s="24" t="n">
        <f aca="false">Pipe_Tally!M289</f>
        <v>3657.35000000001</v>
      </c>
      <c r="G289" s="24" t="n">
        <f aca="false">MAX(0,MIN(F289,Well_Data!$B$10)-MAX(E289,Well_Data!$B$23))</f>
        <v>0</v>
      </c>
      <c r="H289" s="26" t="n">
        <f aca="false">G289*(Well_Data!$B$26^2-C289^2)/1029.4</f>
        <v>0</v>
      </c>
      <c r="I289" s="24" t="n">
        <f aca="false">MAX(0,MIN(F289,Well_Data!$B$23)-E289)</f>
        <v>31.2600000000002</v>
      </c>
      <c r="J289" s="26" t="n">
        <f aca="false">I289*(Well_Data!$B$25^2-C289^2)/1029.4</f>
        <v>1.52928514557996</v>
      </c>
      <c r="K289" s="25" t="n">
        <f aca="false">D289^2/1029.4</f>
        <v>0.0177619739654167</v>
      </c>
      <c r="L289" s="24" t="n">
        <f aca="false">F289-E289</f>
        <v>31.2600000000002</v>
      </c>
      <c r="M289" s="26" t="n">
        <f aca="false">K289*L289</f>
        <v>0.555239306158931</v>
      </c>
    </row>
    <row r="290" customFormat="false" ht="15" hidden="false" customHeight="true" outlineLevel="0" collapsed="false">
      <c r="A290" s="19" t="n">
        <f aca="false">Pipe_Tally!A290</f>
        <v>289</v>
      </c>
      <c r="B290" s="19" t="str">
        <f aca="false">Pipe_Tally!D290</f>
        <v>5in 19.50 ppf S-135 drill pipe</v>
      </c>
      <c r="C290" s="26" t="n">
        <f aca="false">Pipe_Tally!F290</f>
        <v>5</v>
      </c>
      <c r="D290" s="26" t="n">
        <f aca="false">Pipe_Tally!G290</f>
        <v>4.276</v>
      </c>
      <c r="E290" s="24" t="n">
        <f aca="false">Pipe_Tally!L290</f>
        <v>3594.90000000001</v>
      </c>
      <c r="F290" s="24" t="n">
        <f aca="false">Pipe_Tally!M290</f>
        <v>3626.09000000001</v>
      </c>
      <c r="G290" s="24" t="n">
        <f aca="false">MAX(0,MIN(F290,Well_Data!$B$10)-MAX(E290,Well_Data!$B$23))</f>
        <v>0</v>
      </c>
      <c r="H290" s="26" t="n">
        <f aca="false">G290*(Well_Data!$B$26^2-C290^2)/1029.4</f>
        <v>0</v>
      </c>
      <c r="I290" s="24" t="n">
        <f aca="false">MAX(0,MIN(F290,Well_Data!$B$23)-E290)</f>
        <v>31.1900000000001</v>
      </c>
      <c r="J290" s="26" t="n">
        <f aca="false">I290*(Well_Data!$B$25^2-C290^2)/1029.4</f>
        <v>1.52586064269478</v>
      </c>
      <c r="K290" s="25" t="n">
        <f aca="false">D290^2/1029.4</f>
        <v>0.0177619739654167</v>
      </c>
      <c r="L290" s="24" t="n">
        <f aca="false">F290-E290</f>
        <v>31.1900000000001</v>
      </c>
      <c r="M290" s="26" t="n">
        <f aca="false">K290*L290</f>
        <v>0.553995967981349</v>
      </c>
    </row>
    <row r="291" customFormat="false" ht="15" hidden="false" customHeight="true" outlineLevel="0" collapsed="false">
      <c r="A291" s="19" t="n">
        <f aca="false">Pipe_Tally!A291</f>
        <v>290</v>
      </c>
      <c r="B291" s="19" t="str">
        <f aca="false">Pipe_Tally!D291</f>
        <v>5in 19.50 ppf S-135 drill pipe</v>
      </c>
      <c r="C291" s="26" t="n">
        <f aca="false">Pipe_Tally!F291</f>
        <v>5</v>
      </c>
      <c r="D291" s="26" t="n">
        <f aca="false">Pipe_Tally!G291</f>
        <v>4.276</v>
      </c>
      <c r="E291" s="24" t="n">
        <f aca="false">Pipe_Tally!L291</f>
        <v>3563.36</v>
      </c>
      <c r="F291" s="24" t="n">
        <f aca="false">Pipe_Tally!M291</f>
        <v>3594.9</v>
      </c>
      <c r="G291" s="24" t="n">
        <f aca="false">MAX(0,MIN(F291,Well_Data!$B$10)-MAX(E291,Well_Data!$B$23))</f>
        <v>0</v>
      </c>
      <c r="H291" s="26" t="n">
        <f aca="false">G291*(Well_Data!$B$26^2-C291^2)/1029.4</f>
        <v>0</v>
      </c>
      <c r="I291" s="24" t="n">
        <f aca="false">MAX(0,MIN(F291,Well_Data!$B$23)-E291)</f>
        <v>31.54</v>
      </c>
      <c r="J291" s="26" t="n">
        <f aca="false">I291*(Well_Data!$B$25^2-C291^2)/1029.4</f>
        <v>1.54298315712065</v>
      </c>
      <c r="K291" s="25" t="n">
        <f aca="false">D291^2/1029.4</f>
        <v>0.0177619739654167</v>
      </c>
      <c r="L291" s="24" t="n">
        <f aca="false">F291-E291</f>
        <v>31.54</v>
      </c>
      <c r="M291" s="26" t="n">
        <f aca="false">K291*L291</f>
        <v>0.560212658869243</v>
      </c>
    </row>
    <row r="292" customFormat="false" ht="15" hidden="false" customHeight="true" outlineLevel="0" collapsed="false">
      <c r="A292" s="19" t="n">
        <f aca="false">Pipe_Tally!A292</f>
        <v>291</v>
      </c>
      <c r="B292" s="19" t="str">
        <f aca="false">Pipe_Tally!D292</f>
        <v>5in 19.50 ppf S-135 drill pipe</v>
      </c>
      <c r="C292" s="26" t="n">
        <f aca="false">Pipe_Tally!F292</f>
        <v>5</v>
      </c>
      <c r="D292" s="26" t="n">
        <f aca="false">Pipe_Tally!G292</f>
        <v>4.276</v>
      </c>
      <c r="E292" s="24" t="n">
        <f aca="false">Pipe_Tally!L292</f>
        <v>3532.25</v>
      </c>
      <c r="F292" s="24" t="n">
        <f aca="false">Pipe_Tally!M292</f>
        <v>3563.36</v>
      </c>
      <c r="G292" s="24" t="n">
        <f aca="false">MAX(0,MIN(F292,Well_Data!$B$10)-MAX(E292,Well_Data!$B$23))</f>
        <v>0</v>
      </c>
      <c r="H292" s="26" t="n">
        <f aca="false">G292*(Well_Data!$B$26^2-C292^2)/1029.4</f>
        <v>0</v>
      </c>
      <c r="I292" s="24" t="n">
        <f aca="false">MAX(0,MIN(F292,Well_Data!$B$23)-E292)</f>
        <v>31.1100000000001</v>
      </c>
      <c r="J292" s="26" t="n">
        <f aca="false">I292*(Well_Data!$B$25^2-C292^2)/1029.4</f>
        <v>1.52194692511172</v>
      </c>
      <c r="K292" s="25" t="n">
        <f aca="false">D292^2/1029.4</f>
        <v>0.0177619739654167</v>
      </c>
      <c r="L292" s="24" t="n">
        <f aca="false">F292-E292</f>
        <v>31.1100000000001</v>
      </c>
      <c r="M292" s="26" t="n">
        <f aca="false">K292*L292</f>
        <v>0.552575010064117</v>
      </c>
    </row>
    <row r="293" customFormat="false" ht="15" hidden="false" customHeight="true" outlineLevel="0" collapsed="false">
      <c r="A293" s="19" t="n">
        <f aca="false">Pipe_Tally!A293</f>
        <v>292</v>
      </c>
      <c r="B293" s="19" t="str">
        <f aca="false">Pipe_Tally!D293</f>
        <v>5in 19.50 ppf S-135 drill pipe</v>
      </c>
      <c r="C293" s="26" t="n">
        <f aca="false">Pipe_Tally!F293</f>
        <v>5</v>
      </c>
      <c r="D293" s="26" t="n">
        <f aca="false">Pipe_Tally!G293</f>
        <v>4.276</v>
      </c>
      <c r="E293" s="24" t="n">
        <f aca="false">Pipe_Tally!L293</f>
        <v>3501.23</v>
      </c>
      <c r="F293" s="24" t="n">
        <f aca="false">Pipe_Tally!M293</f>
        <v>3532.25</v>
      </c>
      <c r="G293" s="24" t="n">
        <f aca="false">MAX(0,MIN(F293,Well_Data!$B$10)-MAX(E293,Well_Data!$B$23))</f>
        <v>0</v>
      </c>
      <c r="H293" s="26" t="n">
        <f aca="false">G293*(Well_Data!$B$26^2-C293^2)/1029.4</f>
        <v>0</v>
      </c>
      <c r="I293" s="24" t="n">
        <f aca="false">MAX(0,MIN(F293,Well_Data!$B$23)-E293)</f>
        <v>31.02</v>
      </c>
      <c r="J293" s="26" t="n">
        <f aca="false">I293*(Well_Data!$B$25^2-C293^2)/1029.4</f>
        <v>1.51754399283077</v>
      </c>
      <c r="K293" s="25" t="n">
        <f aca="false">D293^2/1029.4</f>
        <v>0.0177619739654167</v>
      </c>
      <c r="L293" s="24" t="n">
        <f aca="false">F293-E293</f>
        <v>31.02</v>
      </c>
      <c r="M293" s="26" t="n">
        <f aca="false">K293*L293</f>
        <v>0.550976432407227</v>
      </c>
    </row>
    <row r="294" customFormat="false" ht="15" hidden="false" customHeight="true" outlineLevel="0" collapsed="false">
      <c r="A294" s="19" t="n">
        <f aca="false">Pipe_Tally!A294</f>
        <v>293</v>
      </c>
      <c r="B294" s="19" t="str">
        <f aca="false">Pipe_Tally!D294</f>
        <v>5in 19.50 ppf S-135 drill pipe</v>
      </c>
      <c r="C294" s="26" t="n">
        <f aca="false">Pipe_Tally!F294</f>
        <v>5</v>
      </c>
      <c r="D294" s="26" t="n">
        <f aca="false">Pipe_Tally!G294</f>
        <v>4.276</v>
      </c>
      <c r="E294" s="24" t="n">
        <f aca="false">Pipe_Tally!L294</f>
        <v>3470.25</v>
      </c>
      <c r="F294" s="24" t="n">
        <f aca="false">Pipe_Tally!M294</f>
        <v>3501.23</v>
      </c>
      <c r="G294" s="24" t="n">
        <f aca="false">MAX(0,MIN(F294,Well_Data!$B$10)-MAX(E294,Well_Data!$B$23))</f>
        <v>0</v>
      </c>
      <c r="H294" s="26" t="n">
        <f aca="false">G294*(Well_Data!$B$26^2-C294^2)/1029.4</f>
        <v>0</v>
      </c>
      <c r="I294" s="24" t="n">
        <f aca="false">MAX(0,MIN(F294,Well_Data!$B$23)-E294)</f>
        <v>30.98</v>
      </c>
      <c r="J294" s="26" t="n">
        <f aca="false">I294*(Well_Data!$B$25^2-C294^2)/1029.4</f>
        <v>1.51558713403925</v>
      </c>
      <c r="K294" s="25" t="n">
        <f aca="false">D294^2/1029.4</f>
        <v>0.0177619739654167</v>
      </c>
      <c r="L294" s="24" t="n">
        <f aca="false">F294-E294</f>
        <v>30.98</v>
      </c>
      <c r="M294" s="26" t="n">
        <f aca="false">K294*L294</f>
        <v>0.550265953448611</v>
      </c>
    </row>
    <row r="295" customFormat="false" ht="15" hidden="false" customHeight="true" outlineLevel="0" collapsed="false">
      <c r="A295" s="19" t="n">
        <f aca="false">Pipe_Tally!A295</f>
        <v>294</v>
      </c>
      <c r="B295" s="19" t="str">
        <f aca="false">Pipe_Tally!D295</f>
        <v>5in 19.50 ppf S-135 drill pipe</v>
      </c>
      <c r="C295" s="26" t="n">
        <f aca="false">Pipe_Tally!F295</f>
        <v>5</v>
      </c>
      <c r="D295" s="26" t="n">
        <f aca="false">Pipe_Tally!G295</f>
        <v>4.276</v>
      </c>
      <c r="E295" s="24" t="n">
        <f aca="false">Pipe_Tally!L295</f>
        <v>3438.93</v>
      </c>
      <c r="F295" s="24" t="n">
        <f aca="false">Pipe_Tally!M295</f>
        <v>3470.25</v>
      </c>
      <c r="G295" s="24" t="n">
        <f aca="false">MAX(0,MIN(F295,Well_Data!$B$10)-MAX(E295,Well_Data!$B$23))</f>
        <v>0</v>
      </c>
      <c r="H295" s="26" t="n">
        <f aca="false">G295*(Well_Data!$B$26^2-C295^2)/1029.4</f>
        <v>0</v>
      </c>
      <c r="I295" s="24" t="n">
        <f aca="false">MAX(0,MIN(F295,Well_Data!$B$23)-E295)</f>
        <v>31.3200000000002</v>
      </c>
      <c r="J295" s="26" t="n">
        <f aca="false">I295*(Well_Data!$B$25^2-C295^2)/1029.4</f>
        <v>1.53222043376725</v>
      </c>
      <c r="K295" s="25" t="n">
        <f aca="false">D295^2/1029.4</f>
        <v>0.0177619739654167</v>
      </c>
      <c r="L295" s="24" t="n">
        <f aca="false">F295-E295</f>
        <v>31.3200000000002</v>
      </c>
      <c r="M295" s="26" t="n">
        <f aca="false">K295*L295</f>
        <v>0.556305024596855</v>
      </c>
    </row>
    <row r="296" customFormat="false" ht="15" hidden="false" customHeight="true" outlineLevel="0" collapsed="false">
      <c r="A296" s="19" t="n">
        <f aca="false">Pipe_Tally!A296</f>
        <v>295</v>
      </c>
      <c r="B296" s="19" t="str">
        <f aca="false">Pipe_Tally!D296</f>
        <v>5in 19.50 ppf S-135 drill pipe</v>
      </c>
      <c r="C296" s="26" t="n">
        <f aca="false">Pipe_Tally!F296</f>
        <v>5</v>
      </c>
      <c r="D296" s="26" t="n">
        <f aca="false">Pipe_Tally!G296</f>
        <v>4.276</v>
      </c>
      <c r="E296" s="24" t="n">
        <f aca="false">Pipe_Tally!L296</f>
        <v>3407.64</v>
      </c>
      <c r="F296" s="24" t="n">
        <f aca="false">Pipe_Tally!M296</f>
        <v>3438.93</v>
      </c>
      <c r="G296" s="24" t="n">
        <f aca="false">MAX(0,MIN(F296,Well_Data!$B$10)-MAX(E296,Well_Data!$B$23))</f>
        <v>0</v>
      </c>
      <c r="H296" s="26" t="n">
        <f aca="false">G296*(Well_Data!$B$26^2-C296^2)/1029.4</f>
        <v>0</v>
      </c>
      <c r="I296" s="24" t="n">
        <f aca="false">MAX(0,MIN(F296,Well_Data!$B$23)-E296)</f>
        <v>31.29</v>
      </c>
      <c r="J296" s="26" t="n">
        <f aca="false">I296*(Well_Data!$B$25^2-C296^2)/1029.4</f>
        <v>1.53075278967359</v>
      </c>
      <c r="K296" s="25" t="n">
        <f aca="false">D296^2/1029.4</f>
        <v>0.0177619739654167</v>
      </c>
      <c r="L296" s="24" t="n">
        <f aca="false">F296-E296</f>
        <v>31.29</v>
      </c>
      <c r="M296" s="26" t="n">
        <f aca="false">K296*L296</f>
        <v>0.555772165377889</v>
      </c>
    </row>
    <row r="297" customFormat="false" ht="15" hidden="false" customHeight="true" outlineLevel="0" collapsed="false">
      <c r="A297" s="19" t="n">
        <f aca="false">Pipe_Tally!A297</f>
        <v>296</v>
      </c>
      <c r="B297" s="19" t="str">
        <f aca="false">Pipe_Tally!D297</f>
        <v>5in 19.50 ppf S-135 drill pipe</v>
      </c>
      <c r="C297" s="26" t="n">
        <f aca="false">Pipe_Tally!F297</f>
        <v>5</v>
      </c>
      <c r="D297" s="26" t="n">
        <f aca="false">Pipe_Tally!G297</f>
        <v>4.276</v>
      </c>
      <c r="E297" s="24" t="n">
        <f aca="false">Pipe_Tally!L297</f>
        <v>3376.06</v>
      </c>
      <c r="F297" s="24" t="n">
        <f aca="false">Pipe_Tally!M297</f>
        <v>3407.64</v>
      </c>
      <c r="G297" s="24" t="n">
        <f aca="false">MAX(0,MIN(F297,Well_Data!$B$10)-MAX(E297,Well_Data!$B$23))</f>
        <v>0</v>
      </c>
      <c r="H297" s="26" t="n">
        <f aca="false">G297*(Well_Data!$B$26^2-C297^2)/1029.4</f>
        <v>0</v>
      </c>
      <c r="I297" s="24" t="n">
        <f aca="false">MAX(0,MIN(F297,Well_Data!$B$23)-E297)</f>
        <v>31.5799999999999</v>
      </c>
      <c r="J297" s="26" t="n">
        <f aca="false">I297*(Well_Data!$B$25^2-C297^2)/1029.4</f>
        <v>1.54494001591218</v>
      </c>
      <c r="K297" s="25" t="n">
        <f aca="false">D297^2/1029.4</f>
        <v>0.0177619739654167</v>
      </c>
      <c r="L297" s="24" t="n">
        <f aca="false">F297-E297</f>
        <v>31.5799999999999</v>
      </c>
      <c r="M297" s="26" t="n">
        <f aca="false">K297*L297</f>
        <v>0.56092313782786</v>
      </c>
    </row>
    <row r="298" customFormat="false" ht="15" hidden="false" customHeight="true" outlineLevel="0" collapsed="false">
      <c r="A298" s="19" t="n">
        <f aca="false">Pipe_Tally!A298</f>
        <v>297</v>
      </c>
      <c r="B298" s="19" t="str">
        <f aca="false">Pipe_Tally!D298</f>
        <v>5in 19.50 ppf S-135 drill pipe</v>
      </c>
      <c r="C298" s="26" t="n">
        <f aca="false">Pipe_Tally!F298</f>
        <v>5</v>
      </c>
      <c r="D298" s="26" t="n">
        <f aca="false">Pipe_Tally!G298</f>
        <v>4.276</v>
      </c>
      <c r="E298" s="24" t="n">
        <f aca="false">Pipe_Tally!L298</f>
        <v>3344.64</v>
      </c>
      <c r="F298" s="24" t="n">
        <f aca="false">Pipe_Tally!M298</f>
        <v>3376.06</v>
      </c>
      <c r="G298" s="24" t="n">
        <f aca="false">MAX(0,MIN(F298,Well_Data!$B$10)-MAX(E298,Well_Data!$B$23))</f>
        <v>0</v>
      </c>
      <c r="H298" s="26" t="n">
        <f aca="false">G298*(Well_Data!$B$26^2-C298^2)/1029.4</f>
        <v>0</v>
      </c>
      <c r="I298" s="24" t="n">
        <f aca="false">MAX(0,MIN(F298,Well_Data!$B$23)-E298)</f>
        <v>31.4200000000001</v>
      </c>
      <c r="J298" s="26" t="n">
        <f aca="false">I298*(Well_Data!$B$25^2-C298^2)/1029.4</f>
        <v>1.53711258074607</v>
      </c>
      <c r="K298" s="25" t="n">
        <f aca="false">D298^2/1029.4</f>
        <v>0.0177619739654167</v>
      </c>
      <c r="L298" s="24" t="n">
        <f aca="false">F298-E298</f>
        <v>31.4200000000001</v>
      </c>
      <c r="M298" s="26" t="n">
        <f aca="false">K298*L298</f>
        <v>0.558081221993395</v>
      </c>
    </row>
    <row r="299" customFormat="false" ht="15" hidden="false" customHeight="true" outlineLevel="0" collapsed="false">
      <c r="A299" s="19" t="n">
        <f aca="false">Pipe_Tally!A299</f>
        <v>298</v>
      </c>
      <c r="B299" s="19" t="str">
        <f aca="false">Pipe_Tally!D299</f>
        <v>5in 19.50 ppf S-135 drill pipe</v>
      </c>
      <c r="C299" s="26" t="n">
        <f aca="false">Pipe_Tally!F299</f>
        <v>5</v>
      </c>
      <c r="D299" s="26" t="n">
        <f aca="false">Pipe_Tally!G299</f>
        <v>4.276</v>
      </c>
      <c r="E299" s="24" t="n">
        <f aca="false">Pipe_Tally!L299</f>
        <v>3313.49</v>
      </c>
      <c r="F299" s="24" t="n">
        <f aca="false">Pipe_Tally!M299</f>
        <v>3344.64</v>
      </c>
      <c r="G299" s="24" t="n">
        <f aca="false">MAX(0,MIN(F299,Well_Data!$B$10)-MAX(E299,Well_Data!$B$23))</f>
        <v>0</v>
      </c>
      <c r="H299" s="26" t="n">
        <f aca="false">G299*(Well_Data!$B$26^2-C299^2)/1029.4</f>
        <v>0</v>
      </c>
      <c r="I299" s="24" t="n">
        <f aca="false">MAX(0,MIN(F299,Well_Data!$B$23)-E299)</f>
        <v>31.1500000000001</v>
      </c>
      <c r="J299" s="26" t="n">
        <f aca="false">I299*(Well_Data!$B$25^2-C299^2)/1029.4</f>
        <v>1.52390378390325</v>
      </c>
      <c r="K299" s="25" t="n">
        <f aca="false">D299^2/1029.4</f>
        <v>0.0177619739654167</v>
      </c>
      <c r="L299" s="24" t="n">
        <f aca="false">F299-E299</f>
        <v>31.1500000000001</v>
      </c>
      <c r="M299" s="26" t="n">
        <f aca="false">K299*L299</f>
        <v>0.553285489022733</v>
      </c>
    </row>
    <row r="300" customFormat="false" ht="15" hidden="false" customHeight="true" outlineLevel="0" collapsed="false">
      <c r="A300" s="19" t="n">
        <f aca="false">Pipe_Tally!A300</f>
        <v>299</v>
      </c>
      <c r="B300" s="19" t="str">
        <f aca="false">Pipe_Tally!D300</f>
        <v>5in 19.50 ppf S-135 drill pipe</v>
      </c>
      <c r="C300" s="26" t="n">
        <f aca="false">Pipe_Tally!F300</f>
        <v>5</v>
      </c>
      <c r="D300" s="26" t="n">
        <f aca="false">Pipe_Tally!G300</f>
        <v>4.276</v>
      </c>
      <c r="E300" s="24" t="n">
        <f aca="false">Pipe_Tally!L300</f>
        <v>3282.07</v>
      </c>
      <c r="F300" s="24" t="n">
        <f aca="false">Pipe_Tally!M300</f>
        <v>3313.49</v>
      </c>
      <c r="G300" s="24" t="n">
        <f aca="false">MAX(0,MIN(F300,Well_Data!$B$10)-MAX(E300,Well_Data!$B$23))</f>
        <v>0</v>
      </c>
      <c r="H300" s="26" t="n">
        <f aca="false">G300*(Well_Data!$B$26^2-C300^2)/1029.4</f>
        <v>0</v>
      </c>
      <c r="I300" s="24" t="n">
        <f aca="false">MAX(0,MIN(F300,Well_Data!$B$23)-E300)</f>
        <v>31.4200000000001</v>
      </c>
      <c r="J300" s="26" t="n">
        <f aca="false">I300*(Well_Data!$B$25^2-C300^2)/1029.4</f>
        <v>1.53711258074607</v>
      </c>
      <c r="K300" s="25" t="n">
        <f aca="false">D300^2/1029.4</f>
        <v>0.0177619739654167</v>
      </c>
      <c r="L300" s="24" t="n">
        <f aca="false">F300-E300</f>
        <v>31.4200000000001</v>
      </c>
      <c r="M300" s="26" t="n">
        <f aca="false">K300*L300</f>
        <v>0.558081221993395</v>
      </c>
    </row>
    <row r="301" customFormat="false" ht="15" hidden="false" customHeight="true" outlineLevel="0" collapsed="false">
      <c r="A301" s="19" t="n">
        <f aca="false">Pipe_Tally!A301</f>
        <v>300</v>
      </c>
      <c r="B301" s="19" t="str">
        <f aca="false">Pipe_Tally!D301</f>
        <v>5in 19.50 ppf S-135 drill pipe</v>
      </c>
      <c r="C301" s="26" t="n">
        <f aca="false">Pipe_Tally!F301</f>
        <v>5</v>
      </c>
      <c r="D301" s="26" t="n">
        <f aca="false">Pipe_Tally!G301</f>
        <v>4.276</v>
      </c>
      <c r="E301" s="24" t="n">
        <f aca="false">Pipe_Tally!L301</f>
        <v>3251.21</v>
      </c>
      <c r="F301" s="24" t="n">
        <f aca="false">Pipe_Tally!M301</f>
        <v>3282.07</v>
      </c>
      <c r="G301" s="24" t="n">
        <f aca="false">MAX(0,MIN(F301,Well_Data!$B$10)-MAX(E301,Well_Data!$B$23))</f>
        <v>0</v>
      </c>
      <c r="H301" s="26" t="n">
        <f aca="false">G301*(Well_Data!$B$26^2-C301^2)/1029.4</f>
        <v>0</v>
      </c>
      <c r="I301" s="24" t="n">
        <f aca="false">MAX(0,MIN(F301,Well_Data!$B$23)-E301)</f>
        <v>30.8600000000001</v>
      </c>
      <c r="J301" s="26" t="n">
        <f aca="false">I301*(Well_Data!$B$25^2-C301^2)/1029.4</f>
        <v>1.50971655766467</v>
      </c>
      <c r="K301" s="25" t="n">
        <f aca="false">D301^2/1029.4</f>
        <v>0.0177619739654167</v>
      </c>
      <c r="L301" s="24" t="n">
        <f aca="false">F301-E301</f>
        <v>30.8600000000001</v>
      </c>
      <c r="M301" s="26" t="n">
        <f aca="false">K301*L301</f>
        <v>0.548134516572763</v>
      </c>
    </row>
    <row r="302" customFormat="false" ht="15" hidden="false" customHeight="true" outlineLevel="0" collapsed="false">
      <c r="A302" s="19" t="n">
        <f aca="false">Pipe_Tally!A302</f>
        <v>301</v>
      </c>
      <c r="B302" s="19" t="str">
        <f aca="false">Pipe_Tally!D302</f>
        <v>5in 19.50 ppf S-135 drill pipe</v>
      </c>
      <c r="C302" s="26" t="n">
        <f aca="false">Pipe_Tally!F302</f>
        <v>5</v>
      </c>
      <c r="D302" s="26" t="n">
        <f aca="false">Pipe_Tally!G302</f>
        <v>4.276</v>
      </c>
      <c r="E302" s="24" t="n">
        <f aca="false">Pipe_Tally!L302</f>
        <v>3220.12</v>
      </c>
      <c r="F302" s="24" t="n">
        <f aca="false">Pipe_Tally!M302</f>
        <v>3251.21</v>
      </c>
      <c r="G302" s="24" t="n">
        <f aca="false">MAX(0,MIN(F302,Well_Data!$B$10)-MAX(E302,Well_Data!$B$23))</f>
        <v>0</v>
      </c>
      <c r="H302" s="26" t="n">
        <f aca="false">G302*(Well_Data!$B$26^2-C302^2)/1029.4</f>
        <v>0</v>
      </c>
      <c r="I302" s="24" t="n">
        <f aca="false">MAX(0,MIN(F302,Well_Data!$B$23)-E302)</f>
        <v>31.0900000000001</v>
      </c>
      <c r="J302" s="26" t="n">
        <f aca="false">I302*(Well_Data!$B$25^2-C302^2)/1029.4</f>
        <v>1.52096849571596</v>
      </c>
      <c r="K302" s="25" t="n">
        <f aca="false">D302^2/1029.4</f>
        <v>0.0177619739654167</v>
      </c>
      <c r="L302" s="24" t="n">
        <f aca="false">F302-E302</f>
        <v>31.0900000000001</v>
      </c>
      <c r="M302" s="26" t="n">
        <f aca="false">K302*L302</f>
        <v>0.552219770584809</v>
      </c>
    </row>
    <row r="303" customFormat="false" ht="15" hidden="false" customHeight="true" outlineLevel="0" collapsed="false">
      <c r="A303" s="19" t="n">
        <f aca="false">Pipe_Tally!A303</f>
        <v>302</v>
      </c>
      <c r="B303" s="19" t="str">
        <f aca="false">Pipe_Tally!D303</f>
        <v>5in 19.50 ppf S-135 drill pipe</v>
      </c>
      <c r="C303" s="26" t="n">
        <f aca="false">Pipe_Tally!F303</f>
        <v>5</v>
      </c>
      <c r="D303" s="26" t="n">
        <f aca="false">Pipe_Tally!G303</f>
        <v>4.276</v>
      </c>
      <c r="E303" s="24" t="n">
        <f aca="false">Pipe_Tally!L303</f>
        <v>3189.16</v>
      </c>
      <c r="F303" s="24" t="n">
        <f aca="false">Pipe_Tally!M303</f>
        <v>3220.12</v>
      </c>
      <c r="G303" s="24" t="n">
        <f aca="false">MAX(0,MIN(F303,Well_Data!$B$10)-MAX(E303,Well_Data!$B$23))</f>
        <v>0</v>
      </c>
      <c r="H303" s="26" t="n">
        <f aca="false">G303*(Well_Data!$B$26^2-C303^2)/1029.4</f>
        <v>0</v>
      </c>
      <c r="I303" s="24" t="n">
        <f aca="false">MAX(0,MIN(F303,Well_Data!$B$23)-E303)</f>
        <v>30.96</v>
      </c>
      <c r="J303" s="26" t="n">
        <f aca="false">I303*(Well_Data!$B$25^2-C303^2)/1029.4</f>
        <v>1.51460870464348</v>
      </c>
      <c r="K303" s="25" t="n">
        <f aca="false">D303^2/1029.4</f>
        <v>0.0177619739654167</v>
      </c>
      <c r="L303" s="24" t="n">
        <f aca="false">F303-E303</f>
        <v>30.96</v>
      </c>
      <c r="M303" s="26" t="n">
        <f aca="false">K303*L303</f>
        <v>0.549910713969303</v>
      </c>
    </row>
    <row r="304" customFormat="false" ht="15" hidden="false" customHeight="true" outlineLevel="0" collapsed="false">
      <c r="A304" s="19" t="n">
        <f aca="false">Pipe_Tally!A304</f>
        <v>303</v>
      </c>
      <c r="B304" s="19" t="str">
        <f aca="false">Pipe_Tally!D304</f>
        <v>5in 19.50 ppf S-135 drill pipe</v>
      </c>
      <c r="C304" s="26" t="n">
        <f aca="false">Pipe_Tally!F304</f>
        <v>5</v>
      </c>
      <c r="D304" s="26" t="n">
        <f aca="false">Pipe_Tally!G304</f>
        <v>4.276</v>
      </c>
      <c r="E304" s="24" t="n">
        <f aca="false">Pipe_Tally!L304</f>
        <v>3158.12</v>
      </c>
      <c r="F304" s="24" t="n">
        <f aca="false">Pipe_Tally!M304</f>
        <v>3189.16</v>
      </c>
      <c r="G304" s="24" t="n">
        <f aca="false">MAX(0,MIN(F304,Well_Data!$B$10)-MAX(E304,Well_Data!$B$23))</f>
        <v>0</v>
      </c>
      <c r="H304" s="26" t="n">
        <f aca="false">G304*(Well_Data!$B$26^2-C304^2)/1029.4</f>
        <v>0</v>
      </c>
      <c r="I304" s="24" t="n">
        <f aca="false">MAX(0,MIN(F304,Well_Data!$B$23)-E304)</f>
        <v>31.04</v>
      </c>
      <c r="J304" s="26" t="n">
        <f aca="false">I304*(Well_Data!$B$25^2-C304^2)/1029.4</f>
        <v>1.51852242222654</v>
      </c>
      <c r="K304" s="25" t="n">
        <f aca="false">D304^2/1029.4</f>
        <v>0.0177619739654167</v>
      </c>
      <c r="L304" s="24" t="n">
        <f aca="false">F304-E304</f>
        <v>31.04</v>
      </c>
      <c r="M304" s="26" t="n">
        <f aca="false">K304*L304</f>
        <v>0.551331671886535</v>
      </c>
    </row>
    <row r="305" customFormat="false" ht="15" hidden="false" customHeight="true" outlineLevel="0" collapsed="false">
      <c r="A305" s="19" t="n">
        <f aca="false">Pipe_Tally!A305</f>
        <v>304</v>
      </c>
      <c r="B305" s="19" t="str">
        <f aca="false">Pipe_Tally!D305</f>
        <v>5in 19.50 ppf S-135 drill pipe</v>
      </c>
      <c r="C305" s="26" t="n">
        <f aca="false">Pipe_Tally!F305</f>
        <v>5</v>
      </c>
      <c r="D305" s="26" t="n">
        <f aca="false">Pipe_Tally!G305</f>
        <v>4.276</v>
      </c>
      <c r="E305" s="24" t="n">
        <f aca="false">Pipe_Tally!L305</f>
        <v>3127.07</v>
      </c>
      <c r="F305" s="24" t="n">
        <f aca="false">Pipe_Tally!M305</f>
        <v>3158.12</v>
      </c>
      <c r="G305" s="24" t="n">
        <f aca="false">MAX(0,MIN(F305,Well_Data!$B$10)-MAX(E305,Well_Data!$B$23))</f>
        <v>0</v>
      </c>
      <c r="H305" s="26" t="n">
        <f aca="false">G305*(Well_Data!$B$26^2-C305^2)/1029.4</f>
        <v>0</v>
      </c>
      <c r="I305" s="24" t="n">
        <f aca="false">MAX(0,MIN(F305,Well_Data!$B$23)-E305)</f>
        <v>31.0500000000002</v>
      </c>
      <c r="J305" s="26" t="n">
        <f aca="false">I305*(Well_Data!$B$25^2-C305^2)/1029.4</f>
        <v>1.51901163692443</v>
      </c>
      <c r="K305" s="25" t="n">
        <f aca="false">D305^2/1029.4</f>
        <v>0.0177619739654167</v>
      </c>
      <c r="L305" s="24" t="n">
        <f aca="false">F305-E305</f>
        <v>31.0500000000002</v>
      </c>
      <c r="M305" s="26" t="n">
        <f aca="false">K305*L305</f>
        <v>0.551509291626193</v>
      </c>
    </row>
    <row r="306" customFormat="false" ht="15" hidden="false" customHeight="true" outlineLevel="0" collapsed="false">
      <c r="A306" s="19" t="n">
        <f aca="false">Pipe_Tally!A306</f>
        <v>305</v>
      </c>
      <c r="B306" s="19" t="str">
        <f aca="false">Pipe_Tally!D306</f>
        <v>5in 19.50 ppf S-135 drill pipe</v>
      </c>
      <c r="C306" s="26" t="n">
        <f aca="false">Pipe_Tally!F306</f>
        <v>5</v>
      </c>
      <c r="D306" s="26" t="n">
        <f aca="false">Pipe_Tally!G306</f>
        <v>4.276</v>
      </c>
      <c r="E306" s="24" t="n">
        <f aca="false">Pipe_Tally!L306</f>
        <v>3096.17</v>
      </c>
      <c r="F306" s="24" t="n">
        <f aca="false">Pipe_Tally!M306</f>
        <v>3127.07</v>
      </c>
      <c r="G306" s="24" t="n">
        <f aca="false">MAX(0,MIN(F306,Well_Data!$B$10)-MAX(E306,Well_Data!$B$23))</f>
        <v>0</v>
      </c>
      <c r="H306" s="26" t="n">
        <f aca="false">G306*(Well_Data!$B$26^2-C306^2)/1029.4</f>
        <v>0</v>
      </c>
      <c r="I306" s="24" t="n">
        <f aca="false">MAX(0,MIN(F306,Well_Data!$B$23)-E306)</f>
        <v>30.9000000000001</v>
      </c>
      <c r="J306" s="26" t="n">
        <f aca="false">I306*(Well_Data!$B$25^2-C306^2)/1029.4</f>
        <v>1.51167341645619</v>
      </c>
      <c r="K306" s="25" t="n">
        <f aca="false">D306^2/1029.4</f>
        <v>0.0177619739654167</v>
      </c>
      <c r="L306" s="24" t="n">
        <f aca="false">F306-E306</f>
        <v>30.9000000000001</v>
      </c>
      <c r="M306" s="26" t="n">
        <f aca="false">K306*L306</f>
        <v>0.548844995531379</v>
      </c>
    </row>
    <row r="307" customFormat="false" ht="15" hidden="false" customHeight="true" outlineLevel="0" collapsed="false">
      <c r="A307" s="19" t="n">
        <f aca="false">Pipe_Tally!A307</f>
        <v>306</v>
      </c>
      <c r="B307" s="19" t="str">
        <f aca="false">Pipe_Tally!D307</f>
        <v>5in 19.50 ppf S-135 drill pipe</v>
      </c>
      <c r="C307" s="26" t="n">
        <f aca="false">Pipe_Tally!F307</f>
        <v>5</v>
      </c>
      <c r="D307" s="26" t="n">
        <f aca="false">Pipe_Tally!G307</f>
        <v>4.276</v>
      </c>
      <c r="E307" s="24" t="n">
        <f aca="false">Pipe_Tally!L307</f>
        <v>3064.93</v>
      </c>
      <c r="F307" s="24" t="n">
        <f aca="false">Pipe_Tally!M307</f>
        <v>3096.17</v>
      </c>
      <c r="G307" s="24" t="n">
        <f aca="false">MAX(0,MIN(F307,Well_Data!$B$10)-MAX(E307,Well_Data!$B$23))</f>
        <v>0</v>
      </c>
      <c r="H307" s="26" t="n">
        <f aca="false">G307*(Well_Data!$B$26^2-C307^2)/1029.4</f>
        <v>0</v>
      </c>
      <c r="I307" s="24" t="n">
        <f aca="false">MAX(0,MIN(F307,Well_Data!$B$23)-E307)</f>
        <v>31.2399999999998</v>
      </c>
      <c r="J307" s="26" t="n">
        <f aca="false">I307*(Well_Data!$B$25^2-C307^2)/1029.4</f>
        <v>1.52830671618417</v>
      </c>
      <c r="K307" s="25" t="n">
        <f aca="false">D307^2/1029.4</f>
        <v>0.0177619739654167</v>
      </c>
      <c r="L307" s="24" t="n">
        <f aca="false">F307-E307</f>
        <v>31.2399999999998</v>
      </c>
      <c r="M307" s="26" t="n">
        <f aca="false">K307*L307</f>
        <v>0.554884066679615</v>
      </c>
    </row>
    <row r="308" customFormat="false" ht="15" hidden="false" customHeight="true" outlineLevel="0" collapsed="false">
      <c r="A308" s="19" t="n">
        <f aca="false">Pipe_Tally!A308</f>
        <v>307</v>
      </c>
      <c r="B308" s="19" t="str">
        <f aca="false">Pipe_Tally!D308</f>
        <v>5in 19.50 ppf S-135 drill pipe</v>
      </c>
      <c r="C308" s="26" t="n">
        <f aca="false">Pipe_Tally!F308</f>
        <v>5</v>
      </c>
      <c r="D308" s="26" t="n">
        <f aca="false">Pipe_Tally!G308</f>
        <v>4.276</v>
      </c>
      <c r="E308" s="24" t="n">
        <f aca="false">Pipe_Tally!L308</f>
        <v>3033.5</v>
      </c>
      <c r="F308" s="24" t="n">
        <f aca="false">Pipe_Tally!M308</f>
        <v>3064.93</v>
      </c>
      <c r="G308" s="24" t="n">
        <f aca="false">MAX(0,MIN(F308,Well_Data!$B$10)-MAX(E308,Well_Data!$B$23))</f>
        <v>0</v>
      </c>
      <c r="H308" s="26" t="n">
        <f aca="false">G308*(Well_Data!$B$26^2-C308^2)/1029.4</f>
        <v>0</v>
      </c>
      <c r="I308" s="24" t="n">
        <f aca="false">MAX(0,MIN(F308,Well_Data!$B$23)-E308)</f>
        <v>31.4299999999998</v>
      </c>
      <c r="J308" s="26" t="n">
        <f aca="false">I308*(Well_Data!$B$25^2-C308^2)/1029.4</f>
        <v>1.53760179544394</v>
      </c>
      <c r="K308" s="25" t="n">
        <f aca="false">D308^2/1029.4</f>
        <v>0.0177619739654167</v>
      </c>
      <c r="L308" s="24" t="n">
        <f aca="false">F308-E308</f>
        <v>31.4299999999998</v>
      </c>
      <c r="M308" s="26" t="n">
        <f aca="false">K308*L308</f>
        <v>0.558258841733045</v>
      </c>
    </row>
    <row r="309" customFormat="false" ht="15" hidden="false" customHeight="true" outlineLevel="0" collapsed="false">
      <c r="A309" s="19" t="n">
        <f aca="false">Pipe_Tally!A309</f>
        <v>308</v>
      </c>
      <c r="B309" s="19" t="str">
        <f aca="false">Pipe_Tally!D309</f>
        <v>5in 19.50 ppf S-135 drill pipe</v>
      </c>
      <c r="C309" s="26" t="n">
        <f aca="false">Pipe_Tally!F309</f>
        <v>5</v>
      </c>
      <c r="D309" s="26" t="n">
        <f aca="false">Pipe_Tally!G309</f>
        <v>4.276</v>
      </c>
      <c r="E309" s="24" t="n">
        <f aca="false">Pipe_Tally!L309</f>
        <v>3002.5</v>
      </c>
      <c r="F309" s="24" t="n">
        <f aca="false">Pipe_Tally!M309</f>
        <v>3033.5</v>
      </c>
      <c r="G309" s="24" t="n">
        <f aca="false">MAX(0,MIN(F309,Well_Data!$B$10)-MAX(E309,Well_Data!$B$23))</f>
        <v>0</v>
      </c>
      <c r="H309" s="26" t="n">
        <f aca="false">G309*(Well_Data!$B$26^2-C309^2)/1029.4</f>
        <v>0</v>
      </c>
      <c r="I309" s="24" t="n">
        <f aca="false">MAX(0,MIN(F309,Well_Data!$B$23)-E309)</f>
        <v>31</v>
      </c>
      <c r="J309" s="26" t="n">
        <f aca="false">I309*(Well_Data!$B$25^2-C309^2)/1029.4</f>
        <v>1.51656556343501</v>
      </c>
      <c r="K309" s="25" t="n">
        <f aca="false">D309^2/1029.4</f>
        <v>0.0177619739654167</v>
      </c>
      <c r="L309" s="24" t="n">
        <f aca="false">F309-E309</f>
        <v>31</v>
      </c>
      <c r="M309" s="26" t="n">
        <f aca="false">K309*L309</f>
        <v>0.550621192927919</v>
      </c>
    </row>
    <row r="310" customFormat="false" ht="15" hidden="false" customHeight="true" outlineLevel="0" collapsed="false">
      <c r="A310" s="19" t="n">
        <f aca="false">Pipe_Tally!A310</f>
        <v>309</v>
      </c>
      <c r="B310" s="19" t="str">
        <f aca="false">Pipe_Tally!D310</f>
        <v>5in 19.50 ppf S-135 drill pipe</v>
      </c>
      <c r="C310" s="26" t="n">
        <f aca="false">Pipe_Tally!F310</f>
        <v>5</v>
      </c>
      <c r="D310" s="26" t="n">
        <f aca="false">Pipe_Tally!G310</f>
        <v>4.276</v>
      </c>
      <c r="E310" s="24" t="n">
        <f aca="false">Pipe_Tally!L310</f>
        <v>2971.77</v>
      </c>
      <c r="F310" s="24" t="n">
        <f aca="false">Pipe_Tally!M310</f>
        <v>3002.5</v>
      </c>
      <c r="G310" s="24" t="n">
        <f aca="false">MAX(0,MIN(F310,Well_Data!$B$10)-MAX(E310,Well_Data!$B$23))</f>
        <v>0</v>
      </c>
      <c r="H310" s="26" t="n">
        <f aca="false">G310*(Well_Data!$B$26^2-C310^2)/1029.4</f>
        <v>0</v>
      </c>
      <c r="I310" s="24" t="n">
        <f aca="false">MAX(0,MIN(F310,Well_Data!$B$23)-E310)</f>
        <v>30.73</v>
      </c>
      <c r="J310" s="26" t="n">
        <f aca="false">I310*(Well_Data!$B$25^2-C310^2)/1029.4</f>
        <v>1.50335676659219</v>
      </c>
      <c r="K310" s="25" t="n">
        <f aca="false">D310^2/1029.4</f>
        <v>0.0177619739654167</v>
      </c>
      <c r="L310" s="24" t="n">
        <f aca="false">F310-E310</f>
        <v>30.73</v>
      </c>
      <c r="M310" s="26" t="n">
        <f aca="false">K310*L310</f>
        <v>0.545825459957257</v>
      </c>
    </row>
    <row r="311" customFormat="false" ht="15" hidden="false" customHeight="true" outlineLevel="0" collapsed="false">
      <c r="A311" s="19" t="n">
        <f aca="false">Pipe_Tally!A311</f>
        <v>310</v>
      </c>
      <c r="B311" s="19" t="str">
        <f aca="false">Pipe_Tally!D311</f>
        <v>5in 19.50 ppf S-135 drill pipe</v>
      </c>
      <c r="C311" s="26" t="n">
        <f aca="false">Pipe_Tally!F311</f>
        <v>5</v>
      </c>
      <c r="D311" s="26" t="n">
        <f aca="false">Pipe_Tally!G311</f>
        <v>4.276</v>
      </c>
      <c r="E311" s="24" t="n">
        <f aca="false">Pipe_Tally!L311</f>
        <v>2940.41</v>
      </c>
      <c r="F311" s="24" t="n">
        <f aca="false">Pipe_Tally!M311</f>
        <v>2971.77</v>
      </c>
      <c r="G311" s="24" t="n">
        <f aca="false">MAX(0,MIN(F311,Well_Data!$B$10)-MAX(E311,Well_Data!$B$23))</f>
        <v>0</v>
      </c>
      <c r="H311" s="26" t="n">
        <f aca="false">G311*(Well_Data!$B$26^2-C311^2)/1029.4</f>
        <v>0</v>
      </c>
      <c r="I311" s="24" t="n">
        <f aca="false">MAX(0,MIN(F311,Well_Data!$B$23)-E311)</f>
        <v>31.3600000000001</v>
      </c>
      <c r="J311" s="26" t="n">
        <f aca="false">I311*(Well_Data!$B$25^2-C311^2)/1029.4</f>
        <v>1.53417729255878</v>
      </c>
      <c r="K311" s="25" t="n">
        <f aca="false">D311^2/1029.4</f>
        <v>0.0177619739654167</v>
      </c>
      <c r="L311" s="24" t="n">
        <f aca="false">F311-E311</f>
        <v>31.3600000000001</v>
      </c>
      <c r="M311" s="26" t="n">
        <f aca="false">K311*L311</f>
        <v>0.557015503555471</v>
      </c>
    </row>
    <row r="312" customFormat="false" ht="15" hidden="false" customHeight="true" outlineLevel="0" collapsed="false">
      <c r="A312" s="19" t="n">
        <f aca="false">Pipe_Tally!A312</f>
        <v>311</v>
      </c>
      <c r="B312" s="19" t="str">
        <f aca="false">Pipe_Tally!D312</f>
        <v>5in 19.50 ppf S-135 drill pipe</v>
      </c>
      <c r="C312" s="26" t="n">
        <f aca="false">Pipe_Tally!F312</f>
        <v>5</v>
      </c>
      <c r="D312" s="26" t="n">
        <f aca="false">Pipe_Tally!G312</f>
        <v>4.276</v>
      </c>
      <c r="E312" s="24" t="n">
        <f aca="false">Pipe_Tally!L312</f>
        <v>2909.19</v>
      </c>
      <c r="F312" s="24" t="n">
        <f aca="false">Pipe_Tally!M312</f>
        <v>2940.41</v>
      </c>
      <c r="G312" s="24" t="n">
        <f aca="false">MAX(0,MIN(F312,Well_Data!$B$10)-MAX(E312,Well_Data!$B$23))</f>
        <v>0</v>
      </c>
      <c r="H312" s="26" t="n">
        <f aca="false">G312*(Well_Data!$B$26^2-C312^2)/1029.4</f>
        <v>0</v>
      </c>
      <c r="I312" s="24" t="n">
        <f aca="false">MAX(0,MIN(F312,Well_Data!$B$23)-E312)</f>
        <v>31.2199999999998</v>
      </c>
      <c r="J312" s="26" t="n">
        <f aca="false">I312*(Well_Data!$B$25^2-C312^2)/1029.4</f>
        <v>1.52732828678841</v>
      </c>
      <c r="K312" s="25" t="n">
        <f aca="false">D312^2/1029.4</f>
        <v>0.0177619739654167</v>
      </c>
      <c r="L312" s="24" t="n">
        <f aca="false">F312-E312</f>
        <v>31.2199999999998</v>
      </c>
      <c r="M312" s="26" t="n">
        <f aca="false">K312*L312</f>
        <v>0.554528827200307</v>
      </c>
    </row>
    <row r="313" customFormat="false" ht="15" hidden="false" customHeight="true" outlineLevel="0" collapsed="false">
      <c r="A313" s="19" t="n">
        <f aca="false">Pipe_Tally!A313</f>
        <v>312</v>
      </c>
      <c r="B313" s="19" t="str">
        <f aca="false">Pipe_Tally!D313</f>
        <v>5in 19.50 ppf S-135 drill pipe</v>
      </c>
      <c r="C313" s="26" t="n">
        <f aca="false">Pipe_Tally!F313</f>
        <v>5</v>
      </c>
      <c r="D313" s="26" t="n">
        <f aca="false">Pipe_Tally!G313</f>
        <v>4.276</v>
      </c>
      <c r="E313" s="24" t="n">
        <f aca="false">Pipe_Tally!L313</f>
        <v>2878.01</v>
      </c>
      <c r="F313" s="24" t="n">
        <f aca="false">Pipe_Tally!M313</f>
        <v>2909.19</v>
      </c>
      <c r="G313" s="24" t="n">
        <f aca="false">MAX(0,MIN(F313,Well_Data!$B$10)-MAX(E313,Well_Data!$B$23))</f>
        <v>0</v>
      </c>
      <c r="H313" s="26" t="n">
        <f aca="false">G313*(Well_Data!$B$26^2-C313^2)/1029.4</f>
        <v>0</v>
      </c>
      <c r="I313" s="24" t="n">
        <f aca="false">MAX(0,MIN(F313,Well_Data!$B$23)-E313)</f>
        <v>31.1799999999998</v>
      </c>
      <c r="J313" s="26" t="n">
        <f aca="false">I313*(Well_Data!$B$25^2-C313^2)/1029.4</f>
        <v>1.52537142799688</v>
      </c>
      <c r="K313" s="25" t="n">
        <f aca="false">D313^2/1029.4</f>
        <v>0.0177619739654167</v>
      </c>
      <c r="L313" s="24" t="n">
        <f aca="false">F313-E313</f>
        <v>31.1799999999998</v>
      </c>
      <c r="M313" s="26" t="n">
        <f aca="false">K313*L313</f>
        <v>0.553818348241691</v>
      </c>
    </row>
    <row r="314" customFormat="false" ht="15" hidden="false" customHeight="true" outlineLevel="0" collapsed="false">
      <c r="A314" s="19" t="n">
        <f aca="false">Pipe_Tally!A314</f>
        <v>313</v>
      </c>
      <c r="B314" s="19" t="str">
        <f aca="false">Pipe_Tally!D314</f>
        <v>5in 19.50 ppf S-135 drill pipe</v>
      </c>
      <c r="C314" s="26" t="n">
        <f aca="false">Pipe_Tally!F314</f>
        <v>5</v>
      </c>
      <c r="D314" s="26" t="n">
        <f aca="false">Pipe_Tally!G314</f>
        <v>4.276</v>
      </c>
      <c r="E314" s="24" t="n">
        <f aca="false">Pipe_Tally!L314</f>
        <v>2847.25</v>
      </c>
      <c r="F314" s="24" t="n">
        <f aca="false">Pipe_Tally!M314</f>
        <v>2878.01</v>
      </c>
      <c r="G314" s="24" t="n">
        <f aca="false">MAX(0,MIN(F314,Well_Data!$B$10)-MAX(E314,Well_Data!$B$23))</f>
        <v>0</v>
      </c>
      <c r="H314" s="26" t="n">
        <f aca="false">G314*(Well_Data!$B$26^2-C314^2)/1029.4</f>
        <v>0</v>
      </c>
      <c r="I314" s="24" t="n">
        <f aca="false">MAX(0,MIN(F314,Well_Data!$B$23)-E314)</f>
        <v>30.7600000000002</v>
      </c>
      <c r="J314" s="26" t="n">
        <f aca="false">I314*(Well_Data!$B$25^2-C314^2)/1029.4</f>
        <v>1.50482441068585</v>
      </c>
      <c r="K314" s="25" t="n">
        <f aca="false">D314^2/1029.4</f>
        <v>0.0177619739654167</v>
      </c>
      <c r="L314" s="24" t="n">
        <f aca="false">F314-E314</f>
        <v>30.7600000000002</v>
      </c>
      <c r="M314" s="26" t="n">
        <f aca="false">K314*L314</f>
        <v>0.546358319176223</v>
      </c>
    </row>
    <row r="315" customFormat="false" ht="15" hidden="false" customHeight="true" outlineLevel="0" collapsed="false">
      <c r="A315" s="19" t="n">
        <f aca="false">Pipe_Tally!A315</f>
        <v>314</v>
      </c>
      <c r="B315" s="19" t="str">
        <f aca="false">Pipe_Tally!D315</f>
        <v>5in 19.50 ppf S-135 drill pipe</v>
      </c>
      <c r="C315" s="26" t="n">
        <f aca="false">Pipe_Tally!F315</f>
        <v>5</v>
      </c>
      <c r="D315" s="26" t="n">
        <f aca="false">Pipe_Tally!G315</f>
        <v>4.276</v>
      </c>
      <c r="E315" s="24" t="n">
        <f aca="false">Pipe_Tally!L315</f>
        <v>2816.1</v>
      </c>
      <c r="F315" s="24" t="n">
        <f aca="false">Pipe_Tally!M315</f>
        <v>2847.25</v>
      </c>
      <c r="G315" s="24" t="n">
        <f aca="false">MAX(0,MIN(F315,Well_Data!$B$10)-MAX(E315,Well_Data!$B$23))</f>
        <v>0</v>
      </c>
      <c r="H315" s="26" t="n">
        <f aca="false">G315*(Well_Data!$B$26^2-C315^2)/1029.4</f>
        <v>0</v>
      </c>
      <c r="I315" s="24" t="n">
        <f aca="false">MAX(0,MIN(F315,Well_Data!$B$23)-E315)</f>
        <v>31.1500000000001</v>
      </c>
      <c r="J315" s="26" t="n">
        <f aca="false">I315*(Well_Data!$B$25^2-C315^2)/1029.4</f>
        <v>1.52390378390325</v>
      </c>
      <c r="K315" s="25" t="n">
        <f aca="false">D315^2/1029.4</f>
        <v>0.0177619739654167</v>
      </c>
      <c r="L315" s="24" t="n">
        <f aca="false">F315-E315</f>
        <v>31.1500000000001</v>
      </c>
      <c r="M315" s="26" t="n">
        <f aca="false">K315*L315</f>
        <v>0.553285489022733</v>
      </c>
    </row>
    <row r="316" customFormat="false" ht="15" hidden="false" customHeight="true" outlineLevel="0" collapsed="false">
      <c r="A316" s="19" t="n">
        <f aca="false">Pipe_Tally!A316</f>
        <v>315</v>
      </c>
      <c r="B316" s="19" t="str">
        <f aca="false">Pipe_Tally!D316</f>
        <v>5in 19.50 ppf S-135 drill pipe</v>
      </c>
      <c r="C316" s="26" t="n">
        <f aca="false">Pipe_Tally!F316</f>
        <v>5</v>
      </c>
      <c r="D316" s="26" t="n">
        <f aca="false">Pipe_Tally!G316</f>
        <v>4.276</v>
      </c>
      <c r="E316" s="24" t="n">
        <f aca="false">Pipe_Tally!L316</f>
        <v>2784.79</v>
      </c>
      <c r="F316" s="24" t="n">
        <f aca="false">Pipe_Tally!M316</f>
        <v>2816.1</v>
      </c>
      <c r="G316" s="24" t="n">
        <f aca="false">MAX(0,MIN(F316,Well_Data!$B$10)-MAX(E316,Well_Data!$B$23))</f>
        <v>0</v>
      </c>
      <c r="H316" s="26" t="n">
        <f aca="false">G316*(Well_Data!$B$26^2-C316^2)/1029.4</f>
        <v>0</v>
      </c>
      <c r="I316" s="24" t="n">
        <f aca="false">MAX(0,MIN(F316,Well_Data!$B$23)-E316)</f>
        <v>31.3099999999999</v>
      </c>
      <c r="J316" s="26" t="n">
        <f aca="false">I316*(Well_Data!$B$25^2-C316^2)/1029.4</f>
        <v>1.53173121906936</v>
      </c>
      <c r="K316" s="25" t="n">
        <f aca="false">D316^2/1029.4</f>
        <v>0.0177619739654167</v>
      </c>
      <c r="L316" s="24" t="n">
        <f aca="false">F316-E316</f>
        <v>31.3099999999999</v>
      </c>
      <c r="M316" s="26" t="n">
        <f aca="false">K316*L316</f>
        <v>0.556127404857197</v>
      </c>
    </row>
    <row r="317" customFormat="false" ht="15" hidden="false" customHeight="true" outlineLevel="0" collapsed="false">
      <c r="A317" s="19" t="n">
        <f aca="false">Pipe_Tally!A317</f>
        <v>316</v>
      </c>
      <c r="B317" s="19" t="str">
        <f aca="false">Pipe_Tally!D317</f>
        <v>5in 19.50 ppf S-135 drill pipe</v>
      </c>
      <c r="C317" s="26" t="n">
        <f aca="false">Pipe_Tally!F317</f>
        <v>5</v>
      </c>
      <c r="D317" s="26" t="n">
        <f aca="false">Pipe_Tally!G317</f>
        <v>4.276</v>
      </c>
      <c r="E317" s="24" t="n">
        <f aca="false">Pipe_Tally!L317</f>
        <v>2753.81000000001</v>
      </c>
      <c r="F317" s="24" t="n">
        <f aca="false">Pipe_Tally!M317</f>
        <v>2784.79000000001</v>
      </c>
      <c r="G317" s="24" t="n">
        <f aca="false">MAX(0,MIN(F317,Well_Data!$B$10)-MAX(E317,Well_Data!$B$23))</f>
        <v>0</v>
      </c>
      <c r="H317" s="26" t="n">
        <f aca="false">G317*(Well_Data!$B$26^2-C317^2)/1029.4</f>
        <v>0</v>
      </c>
      <c r="I317" s="24" t="n">
        <f aca="false">MAX(0,MIN(F317,Well_Data!$B$23)-E317)</f>
        <v>30.98</v>
      </c>
      <c r="J317" s="26" t="n">
        <f aca="false">I317*(Well_Data!$B$25^2-C317^2)/1029.4</f>
        <v>1.51558713403925</v>
      </c>
      <c r="K317" s="25" t="n">
        <f aca="false">D317^2/1029.4</f>
        <v>0.0177619739654167</v>
      </c>
      <c r="L317" s="24" t="n">
        <f aca="false">F317-E317</f>
        <v>30.98</v>
      </c>
      <c r="M317" s="26" t="n">
        <f aca="false">K317*L317</f>
        <v>0.550265953448611</v>
      </c>
    </row>
    <row r="318" customFormat="false" ht="15" hidden="false" customHeight="true" outlineLevel="0" collapsed="false">
      <c r="A318" s="19" t="n">
        <f aca="false">Pipe_Tally!A318</f>
        <v>317</v>
      </c>
      <c r="B318" s="19" t="str">
        <f aca="false">Pipe_Tally!D318</f>
        <v>5in 19.50 ppf S-135 drill pipe</v>
      </c>
      <c r="C318" s="26" t="n">
        <f aca="false">Pipe_Tally!F318</f>
        <v>5</v>
      </c>
      <c r="D318" s="26" t="n">
        <f aca="false">Pipe_Tally!G318</f>
        <v>4.276</v>
      </c>
      <c r="E318" s="24" t="n">
        <f aca="false">Pipe_Tally!L318</f>
        <v>2722.52</v>
      </c>
      <c r="F318" s="24" t="n">
        <f aca="false">Pipe_Tally!M318</f>
        <v>2753.81</v>
      </c>
      <c r="G318" s="24" t="n">
        <f aca="false">MAX(0,MIN(F318,Well_Data!$B$10)-MAX(E318,Well_Data!$B$23))</f>
        <v>0</v>
      </c>
      <c r="H318" s="26" t="n">
        <f aca="false">G318*(Well_Data!$B$26^2-C318^2)/1029.4</f>
        <v>0</v>
      </c>
      <c r="I318" s="24" t="n">
        <f aca="false">MAX(0,MIN(F318,Well_Data!$B$23)-E318)</f>
        <v>31.29</v>
      </c>
      <c r="J318" s="26" t="n">
        <f aca="false">I318*(Well_Data!$B$25^2-C318^2)/1029.4</f>
        <v>1.53075278967359</v>
      </c>
      <c r="K318" s="25" t="n">
        <f aca="false">D318^2/1029.4</f>
        <v>0.0177619739654167</v>
      </c>
      <c r="L318" s="24" t="n">
        <f aca="false">F318-E318</f>
        <v>31.29</v>
      </c>
      <c r="M318" s="26" t="n">
        <f aca="false">K318*L318</f>
        <v>0.555772165377889</v>
      </c>
    </row>
    <row r="319" customFormat="false" ht="15" hidden="false" customHeight="true" outlineLevel="0" collapsed="false">
      <c r="A319" s="19" t="n">
        <f aca="false">Pipe_Tally!A319</f>
        <v>318</v>
      </c>
      <c r="B319" s="19" t="str">
        <f aca="false">Pipe_Tally!D319</f>
        <v>5in 19.50 ppf S-135 drill pipe</v>
      </c>
      <c r="C319" s="26" t="n">
        <f aca="false">Pipe_Tally!F319</f>
        <v>5</v>
      </c>
      <c r="D319" s="26" t="n">
        <f aca="false">Pipe_Tally!G319</f>
        <v>4.276</v>
      </c>
      <c r="E319" s="24" t="n">
        <f aca="false">Pipe_Tally!L319</f>
        <v>2690.84</v>
      </c>
      <c r="F319" s="24" t="n">
        <f aca="false">Pipe_Tally!M319</f>
        <v>2722.52</v>
      </c>
      <c r="G319" s="24" t="n">
        <f aca="false">MAX(0,MIN(F319,Well_Data!$B$10)-MAX(E319,Well_Data!$B$23))</f>
        <v>0</v>
      </c>
      <c r="H319" s="26" t="n">
        <f aca="false">G319*(Well_Data!$B$26^2-C319^2)/1029.4</f>
        <v>0</v>
      </c>
      <c r="I319" s="24" t="n">
        <f aca="false">MAX(0,MIN(F319,Well_Data!$B$23)-E319)</f>
        <v>31.6799999999998</v>
      </c>
      <c r="J319" s="26" t="n">
        <f aca="false">I319*(Well_Data!$B$25^2-C319^2)/1029.4</f>
        <v>1.549832162891</v>
      </c>
      <c r="K319" s="25" t="n">
        <f aca="false">D319^2/1029.4</f>
        <v>0.0177619739654167</v>
      </c>
      <c r="L319" s="24" t="n">
        <f aca="false">F319-E319</f>
        <v>31.6799999999998</v>
      </c>
      <c r="M319" s="26" t="n">
        <f aca="false">K319*L319</f>
        <v>0.5626993352244</v>
      </c>
    </row>
    <row r="320" customFormat="false" ht="15" hidden="false" customHeight="true" outlineLevel="0" collapsed="false">
      <c r="A320" s="19" t="n">
        <f aca="false">Pipe_Tally!A320</f>
        <v>319</v>
      </c>
      <c r="B320" s="19" t="str">
        <f aca="false">Pipe_Tally!D320</f>
        <v>5in 19.50 ppf S-135 drill pipe</v>
      </c>
      <c r="C320" s="26" t="n">
        <f aca="false">Pipe_Tally!F320</f>
        <v>5</v>
      </c>
      <c r="D320" s="26" t="n">
        <f aca="false">Pipe_Tally!G320</f>
        <v>4.276</v>
      </c>
      <c r="E320" s="24" t="n">
        <f aca="false">Pipe_Tally!L320</f>
        <v>2659.81</v>
      </c>
      <c r="F320" s="24" t="n">
        <f aca="false">Pipe_Tally!M320</f>
        <v>2690.84</v>
      </c>
      <c r="G320" s="24" t="n">
        <f aca="false">MAX(0,MIN(F320,Well_Data!$B$10)-MAX(E320,Well_Data!$B$23))</f>
        <v>0</v>
      </c>
      <c r="H320" s="26" t="n">
        <f aca="false">G320*(Well_Data!$B$26^2-C320^2)/1029.4</f>
        <v>0</v>
      </c>
      <c r="I320" s="24" t="n">
        <f aca="false">MAX(0,MIN(F320,Well_Data!$B$23)-E320)</f>
        <v>31.0300000000002</v>
      </c>
      <c r="J320" s="26" t="n">
        <f aca="false">I320*(Well_Data!$B$25^2-C320^2)/1029.4</f>
        <v>1.51803320752867</v>
      </c>
      <c r="K320" s="25" t="n">
        <f aca="false">D320^2/1029.4</f>
        <v>0.0177619739654167</v>
      </c>
      <c r="L320" s="24" t="n">
        <f aca="false">F320-E320</f>
        <v>31.0300000000002</v>
      </c>
      <c r="M320" s="26" t="n">
        <f aca="false">K320*L320</f>
        <v>0.551154052146885</v>
      </c>
    </row>
    <row r="321" customFormat="false" ht="15" hidden="false" customHeight="true" outlineLevel="0" collapsed="false">
      <c r="A321" s="19" t="n">
        <f aca="false">Pipe_Tally!A321</f>
        <v>320</v>
      </c>
      <c r="B321" s="19" t="str">
        <f aca="false">Pipe_Tally!D321</f>
        <v>5in 19.50 ppf S-135 drill pipe</v>
      </c>
      <c r="C321" s="26" t="n">
        <f aca="false">Pipe_Tally!F321</f>
        <v>5</v>
      </c>
      <c r="D321" s="26" t="n">
        <f aca="false">Pipe_Tally!G321</f>
        <v>4.276</v>
      </c>
      <c r="E321" s="24" t="n">
        <f aca="false">Pipe_Tally!L321</f>
        <v>2629.12</v>
      </c>
      <c r="F321" s="24" t="n">
        <f aca="false">Pipe_Tally!M321</f>
        <v>2659.81</v>
      </c>
      <c r="G321" s="24" t="n">
        <f aca="false">MAX(0,MIN(F321,Well_Data!$B$10)-MAX(E321,Well_Data!$B$23))</f>
        <v>0</v>
      </c>
      <c r="H321" s="26" t="n">
        <f aca="false">G321*(Well_Data!$B$26^2-C321^2)/1029.4</f>
        <v>0</v>
      </c>
      <c r="I321" s="24" t="n">
        <f aca="false">MAX(0,MIN(F321,Well_Data!$B$23)-E321)</f>
        <v>30.6900000000001</v>
      </c>
      <c r="J321" s="26" t="n">
        <f aca="false">I321*(Well_Data!$B$25^2-C321^2)/1029.4</f>
        <v>1.50139990780066</v>
      </c>
      <c r="K321" s="25" t="n">
        <f aca="false">D321^2/1029.4</f>
        <v>0.0177619739654167</v>
      </c>
      <c r="L321" s="24" t="n">
        <f aca="false">F321-E321</f>
        <v>30.6900000000001</v>
      </c>
      <c r="M321" s="26" t="n">
        <f aca="false">K321*L321</f>
        <v>0.545114980998641</v>
      </c>
    </row>
    <row r="322" customFormat="false" ht="15" hidden="false" customHeight="true" outlineLevel="0" collapsed="false">
      <c r="A322" s="19" t="n">
        <f aca="false">Pipe_Tally!A322</f>
        <v>321</v>
      </c>
      <c r="B322" s="19" t="str">
        <f aca="false">Pipe_Tally!D322</f>
        <v>5in 19.50 ppf S-135 drill pipe</v>
      </c>
      <c r="C322" s="26" t="n">
        <f aca="false">Pipe_Tally!F322</f>
        <v>5</v>
      </c>
      <c r="D322" s="26" t="n">
        <f aca="false">Pipe_Tally!G322</f>
        <v>4.276</v>
      </c>
      <c r="E322" s="24" t="n">
        <f aca="false">Pipe_Tally!L322</f>
        <v>2597.84</v>
      </c>
      <c r="F322" s="24" t="n">
        <f aca="false">Pipe_Tally!M322</f>
        <v>2629.12</v>
      </c>
      <c r="G322" s="24" t="n">
        <f aca="false">MAX(0,MIN(F322,Well_Data!$B$10)-MAX(E322,Well_Data!$B$23))</f>
        <v>0</v>
      </c>
      <c r="H322" s="26" t="n">
        <f aca="false">G322*(Well_Data!$B$26^2-C322^2)/1029.4</f>
        <v>0</v>
      </c>
      <c r="I322" s="24" t="n">
        <f aca="false">MAX(0,MIN(F322,Well_Data!$B$23)-E322)</f>
        <v>31.2800000000002</v>
      </c>
      <c r="J322" s="26" t="n">
        <f aca="false">I322*(Well_Data!$B$25^2-C322^2)/1029.4</f>
        <v>1.53026357497572</v>
      </c>
      <c r="K322" s="25" t="n">
        <f aca="false">D322^2/1029.4</f>
        <v>0.0177619739654167</v>
      </c>
      <c r="L322" s="24" t="n">
        <f aca="false">F322-E322</f>
        <v>31.2800000000002</v>
      </c>
      <c r="M322" s="26" t="n">
        <f aca="false">K322*L322</f>
        <v>0.555594545638239</v>
      </c>
    </row>
    <row r="323" customFormat="false" ht="15" hidden="false" customHeight="true" outlineLevel="0" collapsed="false">
      <c r="A323" s="19" t="n">
        <f aca="false">Pipe_Tally!A323</f>
        <v>322</v>
      </c>
      <c r="B323" s="19" t="str">
        <f aca="false">Pipe_Tally!D323</f>
        <v>5in 19.50 ppf S-135 drill pipe</v>
      </c>
      <c r="C323" s="26" t="n">
        <f aca="false">Pipe_Tally!F323</f>
        <v>5</v>
      </c>
      <c r="D323" s="26" t="n">
        <f aca="false">Pipe_Tally!G323</f>
        <v>4.276</v>
      </c>
      <c r="E323" s="24" t="n">
        <f aca="false">Pipe_Tally!L323</f>
        <v>2567.06</v>
      </c>
      <c r="F323" s="24" t="n">
        <f aca="false">Pipe_Tally!M323</f>
        <v>2597.84</v>
      </c>
      <c r="G323" s="24" t="n">
        <f aca="false">MAX(0,MIN(F323,Well_Data!$B$10)-MAX(E323,Well_Data!$B$23))</f>
        <v>0</v>
      </c>
      <c r="H323" s="26" t="n">
        <f aca="false">G323*(Well_Data!$B$26^2-C323^2)/1029.4</f>
        <v>0</v>
      </c>
      <c r="I323" s="24" t="n">
        <f aca="false">MAX(0,MIN(F323,Well_Data!$B$23)-E323)</f>
        <v>30.7800000000002</v>
      </c>
      <c r="J323" s="26" t="n">
        <f aca="false">I323*(Well_Data!$B$25^2-C323^2)/1029.4</f>
        <v>1.50580284008161</v>
      </c>
      <c r="K323" s="25" t="n">
        <f aca="false">D323^2/1029.4</f>
        <v>0.0177619739654167</v>
      </c>
      <c r="L323" s="24" t="n">
        <f aca="false">F323-E323</f>
        <v>30.7800000000002</v>
      </c>
      <c r="M323" s="26" t="n">
        <f aca="false">K323*L323</f>
        <v>0.546713558655531</v>
      </c>
    </row>
    <row r="324" customFormat="false" ht="15" hidden="false" customHeight="true" outlineLevel="0" collapsed="false">
      <c r="A324" s="19" t="n">
        <f aca="false">Pipe_Tally!A324</f>
        <v>323</v>
      </c>
      <c r="B324" s="19" t="str">
        <f aca="false">Pipe_Tally!D324</f>
        <v>5in 19.50 ppf S-135 drill pipe</v>
      </c>
      <c r="C324" s="26" t="n">
        <f aca="false">Pipe_Tally!F324</f>
        <v>5</v>
      </c>
      <c r="D324" s="26" t="n">
        <f aca="false">Pipe_Tally!G324</f>
        <v>4.276</v>
      </c>
      <c r="E324" s="24" t="n">
        <f aca="false">Pipe_Tally!L324</f>
        <v>2535.69</v>
      </c>
      <c r="F324" s="24" t="n">
        <f aca="false">Pipe_Tally!M324</f>
        <v>2567.06</v>
      </c>
      <c r="G324" s="24" t="n">
        <f aca="false">MAX(0,MIN(F324,Well_Data!$B$10)-MAX(E324,Well_Data!$B$23))</f>
        <v>0</v>
      </c>
      <c r="H324" s="26" t="n">
        <f aca="false">G324*(Well_Data!$B$26^2-C324^2)/1029.4</f>
        <v>0</v>
      </c>
      <c r="I324" s="24" t="n">
        <f aca="false">MAX(0,MIN(F324,Well_Data!$B$23)-E324)</f>
        <v>31.3699999999999</v>
      </c>
      <c r="J324" s="26" t="n">
        <f aca="false">I324*(Well_Data!$B$25^2-C324^2)/1029.4</f>
        <v>1.53466650725665</v>
      </c>
      <c r="K324" s="25" t="n">
        <f aca="false">D324^2/1029.4</f>
        <v>0.0177619739654167</v>
      </c>
      <c r="L324" s="24" t="n">
        <f aca="false">F324-E324</f>
        <v>31.3699999999999</v>
      </c>
      <c r="M324" s="26" t="n">
        <f aca="false">K324*L324</f>
        <v>0.557193123295121</v>
      </c>
    </row>
    <row r="325" customFormat="false" ht="15" hidden="false" customHeight="true" outlineLevel="0" collapsed="false">
      <c r="A325" s="19" t="n">
        <f aca="false">Pipe_Tally!A325</f>
        <v>324</v>
      </c>
      <c r="B325" s="19" t="str">
        <f aca="false">Pipe_Tally!D325</f>
        <v>5in 19.50 ppf S-135 drill pipe</v>
      </c>
      <c r="C325" s="26" t="n">
        <f aca="false">Pipe_Tally!F325</f>
        <v>5</v>
      </c>
      <c r="D325" s="26" t="n">
        <f aca="false">Pipe_Tally!G325</f>
        <v>4.276</v>
      </c>
      <c r="E325" s="24" t="n">
        <f aca="false">Pipe_Tally!L325</f>
        <v>2504.34</v>
      </c>
      <c r="F325" s="24" t="n">
        <f aca="false">Pipe_Tally!M325</f>
        <v>2535.69</v>
      </c>
      <c r="G325" s="24" t="n">
        <f aca="false">MAX(0,MIN(F325,Well_Data!$B$10)-MAX(E325,Well_Data!$B$23))</f>
        <v>0</v>
      </c>
      <c r="H325" s="26" t="n">
        <f aca="false">G325*(Well_Data!$B$26^2-C325^2)/1029.4</f>
        <v>0</v>
      </c>
      <c r="I325" s="24" t="n">
        <f aca="false">MAX(0,MIN(F325,Well_Data!$B$23)-E325)</f>
        <v>31.3499999999999</v>
      </c>
      <c r="J325" s="26" t="n">
        <f aca="false">I325*(Well_Data!$B$25^2-C325^2)/1029.4</f>
        <v>1.53368807786089</v>
      </c>
      <c r="K325" s="25" t="n">
        <f aca="false">D325^2/1029.4</f>
        <v>0.0177619739654167</v>
      </c>
      <c r="L325" s="24" t="n">
        <f aca="false">F325-E325</f>
        <v>31.3499999999999</v>
      </c>
      <c r="M325" s="26" t="n">
        <f aca="false">K325*L325</f>
        <v>0.556837883815813</v>
      </c>
    </row>
    <row r="326" customFormat="false" ht="15" hidden="false" customHeight="true" outlineLevel="0" collapsed="false">
      <c r="A326" s="19" t="n">
        <f aca="false">Pipe_Tally!A326</f>
        <v>325</v>
      </c>
      <c r="B326" s="19" t="str">
        <f aca="false">Pipe_Tally!D326</f>
        <v>5in 19.50 ppf S-135 drill pipe</v>
      </c>
      <c r="C326" s="26" t="n">
        <f aca="false">Pipe_Tally!F326</f>
        <v>5</v>
      </c>
      <c r="D326" s="26" t="n">
        <f aca="false">Pipe_Tally!G326</f>
        <v>4.276</v>
      </c>
      <c r="E326" s="24" t="n">
        <f aca="false">Pipe_Tally!L326</f>
        <v>2473.46</v>
      </c>
      <c r="F326" s="24" t="n">
        <f aca="false">Pipe_Tally!M326</f>
        <v>2504.34</v>
      </c>
      <c r="G326" s="24" t="n">
        <f aca="false">MAX(0,MIN(F326,Well_Data!$B$10)-MAX(E326,Well_Data!$B$23))</f>
        <v>0</v>
      </c>
      <c r="H326" s="26" t="n">
        <f aca="false">G326*(Well_Data!$B$26^2-C326^2)/1029.4</f>
        <v>0</v>
      </c>
      <c r="I326" s="24" t="n">
        <f aca="false">MAX(0,MIN(F326,Well_Data!$B$23)-E326)</f>
        <v>30.8800000000001</v>
      </c>
      <c r="J326" s="26" t="n">
        <f aca="false">I326*(Well_Data!$B$25^2-C326^2)/1029.4</f>
        <v>1.51069498706043</v>
      </c>
      <c r="K326" s="25" t="n">
        <f aca="false">D326^2/1029.4</f>
        <v>0.0177619739654167</v>
      </c>
      <c r="L326" s="24" t="n">
        <f aca="false">F326-E326</f>
        <v>30.8800000000001</v>
      </c>
      <c r="M326" s="26" t="n">
        <f aca="false">K326*L326</f>
        <v>0.548489756052071</v>
      </c>
    </row>
    <row r="327" customFormat="false" ht="15" hidden="false" customHeight="true" outlineLevel="0" collapsed="false">
      <c r="A327" s="19" t="n">
        <f aca="false">Pipe_Tally!A327</f>
        <v>326</v>
      </c>
      <c r="B327" s="19" t="str">
        <f aca="false">Pipe_Tally!D327</f>
        <v>5in 19.50 ppf S-135 drill pipe</v>
      </c>
      <c r="C327" s="26" t="n">
        <f aca="false">Pipe_Tally!F327</f>
        <v>5</v>
      </c>
      <c r="D327" s="26" t="n">
        <f aca="false">Pipe_Tally!G327</f>
        <v>4.276</v>
      </c>
      <c r="E327" s="24" t="n">
        <f aca="false">Pipe_Tally!L327</f>
        <v>2442.22</v>
      </c>
      <c r="F327" s="24" t="n">
        <f aca="false">Pipe_Tally!M327</f>
        <v>2473.46</v>
      </c>
      <c r="G327" s="24" t="n">
        <f aca="false">MAX(0,MIN(F327,Well_Data!$B$10)-MAX(E327,Well_Data!$B$23))</f>
        <v>0</v>
      </c>
      <c r="H327" s="26" t="n">
        <f aca="false">G327*(Well_Data!$B$26^2-C327^2)/1029.4</f>
        <v>0</v>
      </c>
      <c r="I327" s="24" t="n">
        <f aca="false">MAX(0,MIN(F327,Well_Data!$B$23)-E327)</f>
        <v>31.2399999999998</v>
      </c>
      <c r="J327" s="26" t="n">
        <f aca="false">I327*(Well_Data!$B$25^2-C327^2)/1029.4</f>
        <v>1.52830671618417</v>
      </c>
      <c r="K327" s="25" t="n">
        <f aca="false">D327^2/1029.4</f>
        <v>0.0177619739654167</v>
      </c>
      <c r="L327" s="24" t="n">
        <f aca="false">F327-E327</f>
        <v>31.2399999999998</v>
      </c>
      <c r="M327" s="26" t="n">
        <f aca="false">K327*L327</f>
        <v>0.554884066679615</v>
      </c>
    </row>
    <row r="328" customFormat="false" ht="15" hidden="false" customHeight="true" outlineLevel="0" collapsed="false">
      <c r="A328" s="19" t="n">
        <f aca="false">Pipe_Tally!A328</f>
        <v>327</v>
      </c>
      <c r="B328" s="19" t="str">
        <f aca="false">Pipe_Tally!D328</f>
        <v>5in 19.50 ppf S-135 drill pipe</v>
      </c>
      <c r="C328" s="26" t="n">
        <f aca="false">Pipe_Tally!F328</f>
        <v>5</v>
      </c>
      <c r="D328" s="26" t="n">
        <f aca="false">Pipe_Tally!G328</f>
        <v>4.276</v>
      </c>
      <c r="E328" s="24" t="n">
        <f aca="false">Pipe_Tally!L328</f>
        <v>2410.68</v>
      </c>
      <c r="F328" s="24" t="n">
        <f aca="false">Pipe_Tally!M328</f>
        <v>2442.22</v>
      </c>
      <c r="G328" s="24" t="n">
        <f aca="false">MAX(0,MIN(F328,Well_Data!$B$10)-MAX(E328,Well_Data!$B$23))</f>
        <v>0</v>
      </c>
      <c r="H328" s="26" t="n">
        <f aca="false">G328*(Well_Data!$B$26^2-C328^2)/1029.4</f>
        <v>0</v>
      </c>
      <c r="I328" s="24" t="n">
        <f aca="false">MAX(0,MIN(F328,Well_Data!$B$23)-E328)</f>
        <v>31.54</v>
      </c>
      <c r="J328" s="26" t="n">
        <f aca="false">I328*(Well_Data!$B$25^2-C328^2)/1029.4</f>
        <v>1.54298315712065</v>
      </c>
      <c r="K328" s="25" t="n">
        <f aca="false">D328^2/1029.4</f>
        <v>0.0177619739654167</v>
      </c>
      <c r="L328" s="24" t="n">
        <f aca="false">F328-E328</f>
        <v>31.54</v>
      </c>
      <c r="M328" s="26" t="n">
        <f aca="false">K328*L328</f>
        <v>0.560212658869243</v>
      </c>
    </row>
    <row r="329" customFormat="false" ht="15" hidden="false" customHeight="true" outlineLevel="0" collapsed="false">
      <c r="A329" s="19" t="n">
        <f aca="false">Pipe_Tally!A329</f>
        <v>328</v>
      </c>
      <c r="B329" s="19" t="str">
        <f aca="false">Pipe_Tally!D329</f>
        <v>5in 19.50 ppf S-135 drill pipe</v>
      </c>
      <c r="C329" s="26" t="n">
        <f aca="false">Pipe_Tally!F329</f>
        <v>5</v>
      </c>
      <c r="D329" s="26" t="n">
        <f aca="false">Pipe_Tally!G329</f>
        <v>4.276</v>
      </c>
      <c r="E329" s="24" t="n">
        <f aca="false">Pipe_Tally!L329</f>
        <v>2379.26</v>
      </c>
      <c r="F329" s="24" t="n">
        <f aca="false">Pipe_Tally!M329</f>
        <v>2410.68</v>
      </c>
      <c r="G329" s="24" t="n">
        <f aca="false">MAX(0,MIN(F329,Well_Data!$B$10)-MAX(E329,Well_Data!$B$23))</f>
        <v>0</v>
      </c>
      <c r="H329" s="26" t="n">
        <f aca="false">G329*(Well_Data!$B$26^2-C329^2)/1029.4</f>
        <v>0</v>
      </c>
      <c r="I329" s="24" t="n">
        <f aca="false">MAX(0,MIN(F329,Well_Data!$B$23)-E329)</f>
        <v>31.4200000000001</v>
      </c>
      <c r="J329" s="26" t="n">
        <f aca="false">I329*(Well_Data!$B$25^2-C329^2)/1029.4</f>
        <v>1.53711258074607</v>
      </c>
      <c r="K329" s="25" t="n">
        <f aca="false">D329^2/1029.4</f>
        <v>0.0177619739654167</v>
      </c>
      <c r="L329" s="24" t="n">
        <f aca="false">F329-E329</f>
        <v>31.4200000000001</v>
      </c>
      <c r="M329" s="26" t="n">
        <f aca="false">K329*L329</f>
        <v>0.558081221993395</v>
      </c>
    </row>
    <row r="330" customFormat="false" ht="15" hidden="false" customHeight="true" outlineLevel="0" collapsed="false">
      <c r="A330" s="19" t="n">
        <f aca="false">Pipe_Tally!A330</f>
        <v>329</v>
      </c>
      <c r="B330" s="19" t="str">
        <f aca="false">Pipe_Tally!D330</f>
        <v>5in 19.50 ppf S-135 drill pipe</v>
      </c>
      <c r="C330" s="26" t="n">
        <f aca="false">Pipe_Tally!F330</f>
        <v>5</v>
      </c>
      <c r="D330" s="26" t="n">
        <f aca="false">Pipe_Tally!G330</f>
        <v>4.276</v>
      </c>
      <c r="E330" s="24" t="n">
        <f aca="false">Pipe_Tally!L330</f>
        <v>2348.07</v>
      </c>
      <c r="F330" s="24" t="n">
        <f aca="false">Pipe_Tally!M330</f>
        <v>2379.26</v>
      </c>
      <c r="G330" s="24" t="n">
        <f aca="false">MAX(0,MIN(F330,Well_Data!$B$10)-MAX(E330,Well_Data!$B$23))</f>
        <v>0</v>
      </c>
      <c r="H330" s="26" t="n">
        <f aca="false">G330*(Well_Data!$B$26^2-C330^2)/1029.4</f>
        <v>0</v>
      </c>
      <c r="I330" s="24" t="n">
        <f aca="false">MAX(0,MIN(F330,Well_Data!$B$23)-E330)</f>
        <v>31.1900000000001</v>
      </c>
      <c r="J330" s="26" t="n">
        <f aca="false">I330*(Well_Data!$B$25^2-C330^2)/1029.4</f>
        <v>1.52586064269478</v>
      </c>
      <c r="K330" s="25" t="n">
        <f aca="false">D330^2/1029.4</f>
        <v>0.0177619739654167</v>
      </c>
      <c r="L330" s="24" t="n">
        <f aca="false">F330-E330</f>
        <v>31.1900000000001</v>
      </c>
      <c r="M330" s="26" t="n">
        <f aca="false">K330*L330</f>
        <v>0.553995967981349</v>
      </c>
    </row>
    <row r="331" customFormat="false" ht="15" hidden="false" customHeight="true" outlineLevel="0" collapsed="false">
      <c r="A331" s="19" t="n">
        <f aca="false">Pipe_Tally!A331</f>
        <v>330</v>
      </c>
      <c r="B331" s="19" t="str">
        <f aca="false">Pipe_Tally!D331</f>
        <v>5in 19.50 ppf S-135 drill pipe</v>
      </c>
      <c r="C331" s="26" t="n">
        <f aca="false">Pipe_Tally!F331</f>
        <v>5</v>
      </c>
      <c r="D331" s="26" t="n">
        <f aca="false">Pipe_Tally!G331</f>
        <v>4.276</v>
      </c>
      <c r="E331" s="24" t="n">
        <f aca="false">Pipe_Tally!L331</f>
        <v>2316.86</v>
      </c>
      <c r="F331" s="24" t="n">
        <f aca="false">Pipe_Tally!M331</f>
        <v>2348.07</v>
      </c>
      <c r="G331" s="24" t="n">
        <f aca="false">MAX(0,MIN(F331,Well_Data!$B$10)-MAX(E331,Well_Data!$B$23))</f>
        <v>0</v>
      </c>
      <c r="H331" s="26" t="n">
        <f aca="false">G331*(Well_Data!$B$26^2-C331^2)/1029.4</f>
        <v>0</v>
      </c>
      <c r="I331" s="24" t="n">
        <f aca="false">MAX(0,MIN(F331,Well_Data!$B$23)-E331)</f>
        <v>31.21</v>
      </c>
      <c r="J331" s="26" t="n">
        <f aca="false">I331*(Well_Data!$B$25^2-C331^2)/1029.4</f>
        <v>1.52683907209054</v>
      </c>
      <c r="K331" s="25" t="n">
        <f aca="false">D331^2/1029.4</f>
        <v>0.0177619739654167</v>
      </c>
      <c r="L331" s="24" t="n">
        <f aca="false">F331-E331</f>
        <v>31.21</v>
      </c>
      <c r="M331" s="26" t="n">
        <f aca="false">K331*L331</f>
        <v>0.554351207460657</v>
      </c>
    </row>
    <row r="332" customFormat="false" ht="15" hidden="false" customHeight="true" outlineLevel="0" collapsed="false">
      <c r="A332" s="19" t="n">
        <f aca="false">Pipe_Tally!A332</f>
        <v>331</v>
      </c>
      <c r="B332" s="19" t="str">
        <f aca="false">Pipe_Tally!D332</f>
        <v>5in 19.50 ppf S-135 drill pipe</v>
      </c>
      <c r="C332" s="26" t="n">
        <f aca="false">Pipe_Tally!F332</f>
        <v>5</v>
      </c>
      <c r="D332" s="26" t="n">
        <f aca="false">Pipe_Tally!G332</f>
        <v>4.276</v>
      </c>
      <c r="E332" s="24" t="n">
        <f aca="false">Pipe_Tally!L332</f>
        <v>2285.51</v>
      </c>
      <c r="F332" s="24" t="n">
        <f aca="false">Pipe_Tally!M332</f>
        <v>2316.86</v>
      </c>
      <c r="G332" s="24" t="n">
        <f aca="false">MAX(0,MIN(F332,Well_Data!$B$10)-MAX(E332,Well_Data!$B$23))</f>
        <v>0</v>
      </c>
      <c r="H332" s="26" t="n">
        <f aca="false">G332*(Well_Data!$B$26^2-C332^2)/1029.4</f>
        <v>0</v>
      </c>
      <c r="I332" s="24" t="n">
        <f aca="false">MAX(0,MIN(F332,Well_Data!$B$23)-E332)</f>
        <v>31.3499999999999</v>
      </c>
      <c r="J332" s="26" t="n">
        <f aca="false">I332*(Well_Data!$B$25^2-C332^2)/1029.4</f>
        <v>1.53368807786089</v>
      </c>
      <c r="K332" s="25" t="n">
        <f aca="false">D332^2/1029.4</f>
        <v>0.0177619739654167</v>
      </c>
      <c r="L332" s="24" t="n">
        <f aca="false">F332-E332</f>
        <v>31.3499999999999</v>
      </c>
      <c r="M332" s="26" t="n">
        <f aca="false">K332*L332</f>
        <v>0.556837883815813</v>
      </c>
    </row>
    <row r="333" customFormat="false" ht="15" hidden="false" customHeight="true" outlineLevel="0" collapsed="false">
      <c r="A333" s="19" t="n">
        <f aca="false">Pipe_Tally!A333</f>
        <v>332</v>
      </c>
      <c r="B333" s="19" t="str">
        <f aca="false">Pipe_Tally!D333</f>
        <v>5in 19.50 ppf S-135 drill pipe</v>
      </c>
      <c r="C333" s="26" t="n">
        <f aca="false">Pipe_Tally!F333</f>
        <v>5</v>
      </c>
      <c r="D333" s="26" t="n">
        <f aca="false">Pipe_Tally!G333</f>
        <v>4.276</v>
      </c>
      <c r="E333" s="24" t="n">
        <f aca="false">Pipe_Tally!L333</f>
        <v>2254.24</v>
      </c>
      <c r="F333" s="24" t="n">
        <f aca="false">Pipe_Tally!M333</f>
        <v>2285.51</v>
      </c>
      <c r="G333" s="24" t="n">
        <f aca="false">MAX(0,MIN(F333,Well_Data!$B$10)-MAX(E333,Well_Data!$B$23))</f>
        <v>0</v>
      </c>
      <c r="H333" s="26" t="n">
        <f aca="false">G333*(Well_Data!$B$26^2-C333^2)/1029.4</f>
        <v>0</v>
      </c>
      <c r="I333" s="24" t="n">
        <f aca="false">MAX(0,MIN(F333,Well_Data!$B$23)-E333)</f>
        <v>31.27</v>
      </c>
      <c r="J333" s="26" t="n">
        <f aca="false">I333*(Well_Data!$B$25^2-C333^2)/1029.4</f>
        <v>1.52977436027783</v>
      </c>
      <c r="K333" s="25" t="n">
        <f aca="false">D333^2/1029.4</f>
        <v>0.0177619739654167</v>
      </c>
      <c r="L333" s="24" t="n">
        <f aca="false">F333-E333</f>
        <v>31.27</v>
      </c>
      <c r="M333" s="26" t="n">
        <f aca="false">K333*L333</f>
        <v>0.555416925898581</v>
      </c>
    </row>
    <row r="334" customFormat="false" ht="15" hidden="false" customHeight="true" outlineLevel="0" collapsed="false">
      <c r="A334" s="19" t="n">
        <f aca="false">Pipe_Tally!A334</f>
        <v>333</v>
      </c>
      <c r="B334" s="19" t="str">
        <f aca="false">Pipe_Tally!D334</f>
        <v>5in 19.50 ppf S-135 drill pipe</v>
      </c>
      <c r="C334" s="26" t="n">
        <f aca="false">Pipe_Tally!F334</f>
        <v>5</v>
      </c>
      <c r="D334" s="26" t="n">
        <f aca="false">Pipe_Tally!G334</f>
        <v>4.276</v>
      </c>
      <c r="E334" s="24" t="n">
        <f aca="false">Pipe_Tally!L334</f>
        <v>2223.15</v>
      </c>
      <c r="F334" s="24" t="n">
        <f aca="false">Pipe_Tally!M334</f>
        <v>2254.24</v>
      </c>
      <c r="G334" s="24" t="n">
        <f aca="false">MAX(0,MIN(F334,Well_Data!$B$10)-MAX(E334,Well_Data!$B$23))</f>
        <v>0</v>
      </c>
      <c r="H334" s="26" t="n">
        <f aca="false">G334*(Well_Data!$B$26^2-C334^2)/1029.4</f>
        <v>0</v>
      </c>
      <c r="I334" s="24" t="n">
        <f aca="false">MAX(0,MIN(F334,Well_Data!$B$23)-E334)</f>
        <v>31.0900000000001</v>
      </c>
      <c r="J334" s="26" t="n">
        <f aca="false">I334*(Well_Data!$B$25^2-C334^2)/1029.4</f>
        <v>1.52096849571596</v>
      </c>
      <c r="K334" s="25" t="n">
        <f aca="false">D334^2/1029.4</f>
        <v>0.0177619739654167</v>
      </c>
      <c r="L334" s="24" t="n">
        <f aca="false">F334-E334</f>
        <v>31.0900000000001</v>
      </c>
      <c r="M334" s="26" t="n">
        <f aca="false">K334*L334</f>
        <v>0.552219770584809</v>
      </c>
    </row>
    <row r="335" customFormat="false" ht="15" hidden="false" customHeight="true" outlineLevel="0" collapsed="false">
      <c r="A335" s="19" t="n">
        <f aca="false">Pipe_Tally!A335</f>
        <v>334</v>
      </c>
      <c r="B335" s="19" t="str">
        <f aca="false">Pipe_Tally!D335</f>
        <v>5in 19.50 ppf S-135 drill pipe</v>
      </c>
      <c r="C335" s="26" t="n">
        <f aca="false">Pipe_Tally!F335</f>
        <v>5</v>
      </c>
      <c r="D335" s="26" t="n">
        <f aca="false">Pipe_Tally!G335</f>
        <v>4.276</v>
      </c>
      <c r="E335" s="24" t="n">
        <f aca="false">Pipe_Tally!L335</f>
        <v>2191.71</v>
      </c>
      <c r="F335" s="24" t="n">
        <f aca="false">Pipe_Tally!M335</f>
        <v>2223.15</v>
      </c>
      <c r="G335" s="24" t="n">
        <f aca="false">MAX(0,MIN(F335,Well_Data!$B$10)-MAX(E335,Well_Data!$B$23))</f>
        <v>0</v>
      </c>
      <c r="H335" s="26" t="n">
        <f aca="false">G335*(Well_Data!$B$26^2-C335^2)/1029.4</f>
        <v>0</v>
      </c>
      <c r="I335" s="24" t="n">
        <f aca="false">MAX(0,MIN(F335,Well_Data!$B$23)-E335)</f>
        <v>31.4400000000001</v>
      </c>
      <c r="J335" s="26" t="n">
        <f aca="false">I335*(Well_Data!$B$25^2-C335^2)/1029.4</f>
        <v>1.53809101014183</v>
      </c>
      <c r="K335" s="25" t="n">
        <f aca="false">D335^2/1029.4</f>
        <v>0.0177619739654167</v>
      </c>
      <c r="L335" s="24" t="n">
        <f aca="false">F335-E335</f>
        <v>31.4400000000001</v>
      </c>
      <c r="M335" s="26" t="n">
        <f aca="false">K335*L335</f>
        <v>0.558436461472703</v>
      </c>
    </row>
    <row r="336" customFormat="false" ht="15" hidden="false" customHeight="true" outlineLevel="0" collapsed="false">
      <c r="A336" s="19" t="n">
        <f aca="false">Pipe_Tally!A336</f>
        <v>335</v>
      </c>
      <c r="B336" s="19" t="str">
        <f aca="false">Pipe_Tally!D336</f>
        <v>5in 19.50 ppf S-135 drill pipe</v>
      </c>
      <c r="C336" s="26" t="n">
        <f aca="false">Pipe_Tally!F336</f>
        <v>5</v>
      </c>
      <c r="D336" s="26" t="n">
        <f aca="false">Pipe_Tally!G336</f>
        <v>4.276</v>
      </c>
      <c r="E336" s="24" t="n">
        <f aca="false">Pipe_Tally!L336</f>
        <v>2160.48</v>
      </c>
      <c r="F336" s="24" t="n">
        <f aca="false">Pipe_Tally!M336</f>
        <v>2191.71</v>
      </c>
      <c r="G336" s="24" t="n">
        <f aca="false">MAX(0,MIN(F336,Well_Data!$B$10)-MAX(E336,Well_Data!$B$23))</f>
        <v>0</v>
      </c>
      <c r="H336" s="26" t="n">
        <f aca="false">G336*(Well_Data!$B$26^2-C336^2)/1029.4</f>
        <v>0</v>
      </c>
      <c r="I336" s="24" t="n">
        <f aca="false">MAX(0,MIN(F336,Well_Data!$B$23)-E336)</f>
        <v>31.23</v>
      </c>
      <c r="J336" s="26" t="n">
        <f aca="false">I336*(Well_Data!$B$25^2-C336^2)/1029.4</f>
        <v>1.5278175014863</v>
      </c>
      <c r="K336" s="25" t="n">
        <f aca="false">D336^2/1029.4</f>
        <v>0.0177619739654167</v>
      </c>
      <c r="L336" s="24" t="n">
        <f aca="false">F336-E336</f>
        <v>31.23</v>
      </c>
      <c r="M336" s="26" t="n">
        <f aca="false">K336*L336</f>
        <v>0.554706446939965</v>
      </c>
    </row>
    <row r="337" customFormat="false" ht="15" hidden="false" customHeight="true" outlineLevel="0" collapsed="false">
      <c r="A337" s="19" t="n">
        <f aca="false">Pipe_Tally!A337</f>
        <v>336</v>
      </c>
      <c r="B337" s="19" t="str">
        <f aca="false">Pipe_Tally!D337</f>
        <v>5in 19.50 ppf S-135 drill pipe</v>
      </c>
      <c r="C337" s="26" t="n">
        <f aca="false">Pipe_Tally!F337</f>
        <v>5</v>
      </c>
      <c r="D337" s="26" t="n">
        <f aca="false">Pipe_Tally!G337</f>
        <v>4.276</v>
      </c>
      <c r="E337" s="24" t="n">
        <f aca="false">Pipe_Tally!L337</f>
        <v>2129.34</v>
      </c>
      <c r="F337" s="24" t="n">
        <f aca="false">Pipe_Tally!M337</f>
        <v>2160.48</v>
      </c>
      <c r="G337" s="24" t="n">
        <f aca="false">MAX(0,MIN(F337,Well_Data!$B$10)-MAX(E337,Well_Data!$B$23))</f>
        <v>0</v>
      </c>
      <c r="H337" s="26" t="n">
        <f aca="false">G337*(Well_Data!$B$26^2-C337^2)/1029.4</f>
        <v>0</v>
      </c>
      <c r="I337" s="24" t="n">
        <f aca="false">MAX(0,MIN(F337,Well_Data!$B$23)-E337)</f>
        <v>31.1399999999999</v>
      </c>
      <c r="J337" s="26" t="n">
        <f aca="false">I337*(Well_Data!$B$25^2-C337^2)/1029.4</f>
        <v>1.52341456920536</v>
      </c>
      <c r="K337" s="25" t="n">
        <f aca="false">D337^2/1029.4</f>
        <v>0.0177619739654167</v>
      </c>
      <c r="L337" s="24" t="n">
        <f aca="false">F337-E337</f>
        <v>31.1399999999999</v>
      </c>
      <c r="M337" s="26" t="n">
        <f aca="false">K337*L337</f>
        <v>0.553107869283075</v>
      </c>
    </row>
    <row r="338" customFormat="false" ht="15" hidden="false" customHeight="true" outlineLevel="0" collapsed="false">
      <c r="A338" s="19" t="n">
        <f aca="false">Pipe_Tally!A338</f>
        <v>337</v>
      </c>
      <c r="B338" s="19" t="str">
        <f aca="false">Pipe_Tally!D338</f>
        <v>5in 19.50 ppf S-135 drill pipe</v>
      </c>
      <c r="C338" s="26" t="n">
        <f aca="false">Pipe_Tally!F338</f>
        <v>5</v>
      </c>
      <c r="D338" s="26" t="n">
        <f aca="false">Pipe_Tally!G338</f>
        <v>4.276</v>
      </c>
      <c r="E338" s="24" t="n">
        <f aca="false">Pipe_Tally!L338</f>
        <v>2097.74</v>
      </c>
      <c r="F338" s="24" t="n">
        <f aca="false">Pipe_Tally!M338</f>
        <v>2129.34</v>
      </c>
      <c r="G338" s="24" t="n">
        <f aca="false">MAX(0,MIN(F338,Well_Data!$B$10)-MAX(E338,Well_Data!$B$23))</f>
        <v>0</v>
      </c>
      <c r="H338" s="26" t="n">
        <f aca="false">G338*(Well_Data!$B$26^2-C338^2)/1029.4</f>
        <v>0</v>
      </c>
      <c r="I338" s="24" t="n">
        <f aca="false">MAX(0,MIN(F338,Well_Data!$B$23)-E338)</f>
        <v>31.5999999999999</v>
      </c>
      <c r="J338" s="26" t="n">
        <f aca="false">I338*(Well_Data!$B$25^2-C338^2)/1029.4</f>
        <v>1.54591844530794</v>
      </c>
      <c r="K338" s="25" t="n">
        <f aca="false">D338^2/1029.4</f>
        <v>0.0177619739654167</v>
      </c>
      <c r="L338" s="24" t="n">
        <f aca="false">F338-E338</f>
        <v>31.5999999999999</v>
      </c>
      <c r="M338" s="26" t="n">
        <f aca="false">K338*L338</f>
        <v>0.561278377307168</v>
      </c>
    </row>
    <row r="339" customFormat="false" ht="15" hidden="false" customHeight="true" outlineLevel="0" collapsed="false">
      <c r="A339" s="19" t="n">
        <f aca="false">Pipe_Tally!A339</f>
        <v>338</v>
      </c>
      <c r="B339" s="19" t="str">
        <f aca="false">Pipe_Tally!D339</f>
        <v>5in 19.50 ppf S-135 drill pipe</v>
      </c>
      <c r="C339" s="26" t="n">
        <f aca="false">Pipe_Tally!F339</f>
        <v>5</v>
      </c>
      <c r="D339" s="26" t="n">
        <f aca="false">Pipe_Tally!G339</f>
        <v>4.276</v>
      </c>
      <c r="E339" s="24" t="n">
        <f aca="false">Pipe_Tally!L339</f>
        <v>2066.56</v>
      </c>
      <c r="F339" s="24" t="n">
        <f aca="false">Pipe_Tally!M339</f>
        <v>2097.74</v>
      </c>
      <c r="G339" s="24" t="n">
        <f aca="false">MAX(0,MIN(F339,Well_Data!$B$10)-MAX(E339,Well_Data!$B$23))</f>
        <v>0</v>
      </c>
      <c r="H339" s="26" t="n">
        <f aca="false">G339*(Well_Data!$B$26^2-C339^2)/1029.4</f>
        <v>0</v>
      </c>
      <c r="I339" s="24" t="n">
        <f aca="false">MAX(0,MIN(F339,Well_Data!$B$23)-E339)</f>
        <v>31.1799999999998</v>
      </c>
      <c r="J339" s="26" t="n">
        <f aca="false">I339*(Well_Data!$B$25^2-C339^2)/1029.4</f>
        <v>1.52537142799688</v>
      </c>
      <c r="K339" s="25" t="n">
        <f aca="false">D339^2/1029.4</f>
        <v>0.0177619739654167</v>
      </c>
      <c r="L339" s="24" t="n">
        <f aca="false">F339-E339</f>
        <v>31.1799999999998</v>
      </c>
      <c r="M339" s="26" t="n">
        <f aca="false">K339*L339</f>
        <v>0.553818348241691</v>
      </c>
    </row>
    <row r="340" customFormat="false" ht="15" hidden="false" customHeight="true" outlineLevel="0" collapsed="false">
      <c r="A340" s="19" t="n">
        <f aca="false">Pipe_Tally!A340</f>
        <v>339</v>
      </c>
      <c r="B340" s="19" t="str">
        <f aca="false">Pipe_Tally!D340</f>
        <v>5in 19.50 ppf S-135 drill pipe</v>
      </c>
      <c r="C340" s="26" t="n">
        <f aca="false">Pipe_Tally!F340</f>
        <v>5</v>
      </c>
      <c r="D340" s="26" t="n">
        <f aca="false">Pipe_Tally!G340</f>
        <v>4.276</v>
      </c>
      <c r="E340" s="24" t="n">
        <f aca="false">Pipe_Tally!L340</f>
        <v>2035.21</v>
      </c>
      <c r="F340" s="24" t="n">
        <f aca="false">Pipe_Tally!M340</f>
        <v>2066.56</v>
      </c>
      <c r="G340" s="24" t="n">
        <f aca="false">MAX(0,MIN(F340,Well_Data!$B$10)-MAX(E340,Well_Data!$B$23))</f>
        <v>0</v>
      </c>
      <c r="H340" s="26" t="n">
        <f aca="false">G340*(Well_Data!$B$26^2-C340^2)/1029.4</f>
        <v>0</v>
      </c>
      <c r="I340" s="24" t="n">
        <f aca="false">MAX(0,MIN(F340,Well_Data!$B$23)-E340)</f>
        <v>31.3499999999999</v>
      </c>
      <c r="J340" s="26" t="n">
        <f aca="false">I340*(Well_Data!$B$25^2-C340^2)/1029.4</f>
        <v>1.53368807786089</v>
      </c>
      <c r="K340" s="25" t="n">
        <f aca="false">D340^2/1029.4</f>
        <v>0.0177619739654167</v>
      </c>
      <c r="L340" s="24" t="n">
        <f aca="false">F340-E340</f>
        <v>31.3499999999999</v>
      </c>
      <c r="M340" s="26" t="n">
        <f aca="false">K340*L340</f>
        <v>0.556837883815813</v>
      </c>
    </row>
    <row r="341" customFormat="false" ht="15" hidden="false" customHeight="true" outlineLevel="0" collapsed="false">
      <c r="A341" s="19" t="n">
        <f aca="false">Pipe_Tally!A341</f>
        <v>340</v>
      </c>
      <c r="B341" s="19" t="str">
        <f aca="false">Pipe_Tally!D341</f>
        <v>5in 19.50 ppf S-135 drill pipe</v>
      </c>
      <c r="C341" s="26" t="n">
        <f aca="false">Pipe_Tally!F341</f>
        <v>5</v>
      </c>
      <c r="D341" s="26" t="n">
        <f aca="false">Pipe_Tally!G341</f>
        <v>4.276</v>
      </c>
      <c r="E341" s="24" t="n">
        <f aca="false">Pipe_Tally!L341</f>
        <v>2003.83</v>
      </c>
      <c r="F341" s="24" t="n">
        <f aca="false">Pipe_Tally!M341</f>
        <v>2035.21</v>
      </c>
      <c r="G341" s="24" t="n">
        <f aca="false">MAX(0,MIN(F341,Well_Data!$B$10)-MAX(E341,Well_Data!$B$23))</f>
        <v>0</v>
      </c>
      <c r="H341" s="26" t="n">
        <f aca="false">G341*(Well_Data!$B$26^2-C341^2)/1029.4</f>
        <v>0</v>
      </c>
      <c r="I341" s="24" t="n">
        <f aca="false">MAX(0,MIN(F341,Well_Data!$B$23)-E341)</f>
        <v>31.3800000000001</v>
      </c>
      <c r="J341" s="26" t="n">
        <f aca="false">I341*(Well_Data!$B$25^2-C341^2)/1029.4</f>
        <v>1.53515572195454</v>
      </c>
      <c r="K341" s="25" t="n">
        <f aca="false">D341^2/1029.4</f>
        <v>0.0177619739654167</v>
      </c>
      <c r="L341" s="24" t="n">
        <f aca="false">F341-E341</f>
        <v>31.3800000000001</v>
      </c>
      <c r="M341" s="26" t="n">
        <f aca="false">K341*L341</f>
        <v>0.557370743034779</v>
      </c>
    </row>
    <row r="342" customFormat="false" ht="15" hidden="false" customHeight="true" outlineLevel="0" collapsed="false">
      <c r="A342" s="19" t="n">
        <f aca="false">Pipe_Tally!A342</f>
        <v>341</v>
      </c>
      <c r="B342" s="19" t="str">
        <f aca="false">Pipe_Tally!D342</f>
        <v>5in 19.50 ppf S-135 drill pipe</v>
      </c>
      <c r="C342" s="26" t="n">
        <f aca="false">Pipe_Tally!F342</f>
        <v>5</v>
      </c>
      <c r="D342" s="26" t="n">
        <f aca="false">Pipe_Tally!G342</f>
        <v>4.276</v>
      </c>
      <c r="E342" s="24" t="n">
        <f aca="false">Pipe_Tally!L342</f>
        <v>1972.68</v>
      </c>
      <c r="F342" s="24" t="n">
        <f aca="false">Pipe_Tally!M342</f>
        <v>2003.83</v>
      </c>
      <c r="G342" s="24" t="n">
        <f aca="false">MAX(0,MIN(F342,Well_Data!$B$10)-MAX(E342,Well_Data!$B$23))</f>
        <v>0</v>
      </c>
      <c r="H342" s="26" t="n">
        <f aca="false">G342*(Well_Data!$B$26^2-C342^2)/1029.4</f>
        <v>0</v>
      </c>
      <c r="I342" s="24" t="n">
        <f aca="false">MAX(0,MIN(F342,Well_Data!$B$23)-E342)</f>
        <v>31.1500000000001</v>
      </c>
      <c r="J342" s="26" t="n">
        <f aca="false">I342*(Well_Data!$B$25^2-C342^2)/1029.4</f>
        <v>1.52390378390325</v>
      </c>
      <c r="K342" s="25" t="n">
        <f aca="false">D342^2/1029.4</f>
        <v>0.0177619739654167</v>
      </c>
      <c r="L342" s="24" t="n">
        <f aca="false">F342-E342</f>
        <v>31.1500000000001</v>
      </c>
      <c r="M342" s="26" t="n">
        <f aca="false">K342*L342</f>
        <v>0.553285489022733</v>
      </c>
    </row>
    <row r="343" customFormat="false" ht="15" hidden="false" customHeight="true" outlineLevel="0" collapsed="false">
      <c r="A343" s="19" t="n">
        <f aca="false">Pipe_Tally!A343</f>
        <v>342</v>
      </c>
      <c r="B343" s="19" t="str">
        <f aca="false">Pipe_Tally!D343</f>
        <v>5in 19.50 ppf S-135 drill pipe</v>
      </c>
      <c r="C343" s="26" t="n">
        <f aca="false">Pipe_Tally!F343</f>
        <v>5</v>
      </c>
      <c r="D343" s="26" t="n">
        <f aca="false">Pipe_Tally!G343</f>
        <v>4.276</v>
      </c>
      <c r="E343" s="24" t="n">
        <f aca="false">Pipe_Tally!L343</f>
        <v>1941.4</v>
      </c>
      <c r="F343" s="24" t="n">
        <f aca="false">Pipe_Tally!M343</f>
        <v>1972.68</v>
      </c>
      <c r="G343" s="24" t="n">
        <f aca="false">MAX(0,MIN(F343,Well_Data!$B$10)-MAX(E343,Well_Data!$B$23))</f>
        <v>0</v>
      </c>
      <c r="H343" s="26" t="n">
        <f aca="false">G343*(Well_Data!$B$26^2-C343^2)/1029.4</f>
        <v>0</v>
      </c>
      <c r="I343" s="24" t="n">
        <f aca="false">MAX(0,MIN(F343,Well_Data!$B$23)-E343)</f>
        <v>31.28</v>
      </c>
      <c r="J343" s="26" t="n">
        <f aca="false">I343*(Well_Data!$B$25^2-C343^2)/1029.4</f>
        <v>1.53026357497571</v>
      </c>
      <c r="K343" s="25" t="n">
        <f aca="false">D343^2/1029.4</f>
        <v>0.0177619739654167</v>
      </c>
      <c r="L343" s="24" t="n">
        <f aca="false">F343-E343</f>
        <v>31.28</v>
      </c>
      <c r="M343" s="26" t="n">
        <f aca="false">K343*L343</f>
        <v>0.555594545638235</v>
      </c>
    </row>
    <row r="344" customFormat="false" ht="15" hidden="false" customHeight="true" outlineLevel="0" collapsed="false">
      <c r="A344" s="19" t="n">
        <f aca="false">Pipe_Tally!A344</f>
        <v>343</v>
      </c>
      <c r="B344" s="19" t="str">
        <f aca="false">Pipe_Tally!D344</f>
        <v>5in 19.50 ppf S-135 drill pipe</v>
      </c>
      <c r="C344" s="26" t="n">
        <f aca="false">Pipe_Tally!F344</f>
        <v>5</v>
      </c>
      <c r="D344" s="26" t="n">
        <f aca="false">Pipe_Tally!G344</f>
        <v>4.276</v>
      </c>
      <c r="E344" s="24" t="n">
        <f aca="false">Pipe_Tally!L344</f>
        <v>1909.72</v>
      </c>
      <c r="F344" s="24" t="n">
        <f aca="false">Pipe_Tally!M344</f>
        <v>1941.4</v>
      </c>
      <c r="G344" s="24" t="n">
        <f aca="false">MAX(0,MIN(F344,Well_Data!$B$10)-MAX(E344,Well_Data!$B$23))</f>
        <v>0</v>
      </c>
      <c r="H344" s="26" t="n">
        <f aca="false">G344*(Well_Data!$B$26^2-C344^2)/1029.4</f>
        <v>0</v>
      </c>
      <c r="I344" s="24" t="n">
        <f aca="false">MAX(0,MIN(F344,Well_Data!$B$23)-E344)</f>
        <v>31.6800000000001</v>
      </c>
      <c r="J344" s="26" t="n">
        <f aca="false">I344*(Well_Data!$B$25^2-C344^2)/1029.4</f>
        <v>1.54983216289101</v>
      </c>
      <c r="K344" s="25" t="n">
        <f aca="false">D344^2/1029.4</f>
        <v>0.0177619739654167</v>
      </c>
      <c r="L344" s="24" t="n">
        <f aca="false">F344-E344</f>
        <v>31.6800000000001</v>
      </c>
      <c r="M344" s="26" t="n">
        <f aca="false">K344*L344</f>
        <v>0.562699335224404</v>
      </c>
    </row>
    <row r="345" customFormat="false" ht="15" hidden="false" customHeight="true" outlineLevel="0" collapsed="false">
      <c r="A345" s="19" t="n">
        <f aca="false">Pipe_Tally!A345</f>
        <v>344</v>
      </c>
      <c r="B345" s="19" t="str">
        <f aca="false">Pipe_Tally!D345</f>
        <v>5in 19.50 ppf S-135 drill pipe</v>
      </c>
      <c r="C345" s="26" t="n">
        <f aca="false">Pipe_Tally!F345</f>
        <v>5</v>
      </c>
      <c r="D345" s="26" t="n">
        <f aca="false">Pipe_Tally!G345</f>
        <v>4.276</v>
      </c>
      <c r="E345" s="24" t="n">
        <f aca="false">Pipe_Tally!L345</f>
        <v>1878.46</v>
      </c>
      <c r="F345" s="24" t="n">
        <f aca="false">Pipe_Tally!M345</f>
        <v>1909.72</v>
      </c>
      <c r="G345" s="24" t="n">
        <f aca="false">MAX(0,MIN(F345,Well_Data!$B$10)-MAX(E345,Well_Data!$B$23))</f>
        <v>0</v>
      </c>
      <c r="H345" s="26" t="n">
        <f aca="false">G345*(Well_Data!$B$26^2-C345^2)/1029.4</f>
        <v>0</v>
      </c>
      <c r="I345" s="24" t="n">
        <f aca="false">MAX(0,MIN(F345,Well_Data!$B$23)-E345)</f>
        <v>31.26</v>
      </c>
      <c r="J345" s="26" t="n">
        <f aca="false">I345*(Well_Data!$B$25^2-C345^2)/1029.4</f>
        <v>1.52928514557995</v>
      </c>
      <c r="K345" s="25" t="n">
        <f aca="false">D345^2/1029.4</f>
        <v>0.0177619739654167</v>
      </c>
      <c r="L345" s="24" t="n">
        <f aca="false">F345-E345</f>
        <v>31.26</v>
      </c>
      <c r="M345" s="26" t="n">
        <f aca="false">K345*L345</f>
        <v>0.555239306158927</v>
      </c>
    </row>
    <row r="346" customFormat="false" ht="15" hidden="false" customHeight="true" outlineLevel="0" collapsed="false">
      <c r="A346" s="19" t="n">
        <f aca="false">Pipe_Tally!A346</f>
        <v>345</v>
      </c>
      <c r="B346" s="19" t="str">
        <f aca="false">Pipe_Tally!D346</f>
        <v>5in 19.50 ppf S-135 drill pipe</v>
      </c>
      <c r="C346" s="26" t="n">
        <f aca="false">Pipe_Tally!F346</f>
        <v>5</v>
      </c>
      <c r="D346" s="26" t="n">
        <f aca="false">Pipe_Tally!G346</f>
        <v>4.276</v>
      </c>
      <c r="E346" s="24" t="n">
        <f aca="false">Pipe_Tally!L346</f>
        <v>1847.44</v>
      </c>
      <c r="F346" s="24" t="n">
        <f aca="false">Pipe_Tally!M346</f>
        <v>1878.46</v>
      </c>
      <c r="G346" s="24" t="n">
        <f aca="false">MAX(0,MIN(F346,Well_Data!$B$10)-MAX(E346,Well_Data!$B$23))</f>
        <v>0</v>
      </c>
      <c r="H346" s="26" t="n">
        <f aca="false">G346*(Well_Data!$B$26^2-C346^2)/1029.4</f>
        <v>0</v>
      </c>
      <c r="I346" s="24" t="n">
        <f aca="false">MAX(0,MIN(F346,Well_Data!$B$23)-E346)</f>
        <v>31.02</v>
      </c>
      <c r="J346" s="26" t="n">
        <f aca="false">I346*(Well_Data!$B$25^2-C346^2)/1029.4</f>
        <v>1.51754399283077</v>
      </c>
      <c r="K346" s="25" t="n">
        <f aca="false">D346^2/1029.4</f>
        <v>0.0177619739654167</v>
      </c>
      <c r="L346" s="24" t="n">
        <f aca="false">F346-E346</f>
        <v>31.02</v>
      </c>
      <c r="M346" s="26" t="n">
        <f aca="false">K346*L346</f>
        <v>0.550976432407227</v>
      </c>
    </row>
    <row r="347" customFormat="false" ht="15" hidden="false" customHeight="true" outlineLevel="0" collapsed="false">
      <c r="A347" s="19" t="n">
        <f aca="false">Pipe_Tally!A347</f>
        <v>346</v>
      </c>
      <c r="B347" s="19" t="str">
        <f aca="false">Pipe_Tally!D347</f>
        <v>5in 19.50 ppf S-135 drill pipe</v>
      </c>
      <c r="C347" s="26" t="n">
        <f aca="false">Pipe_Tally!F347</f>
        <v>5</v>
      </c>
      <c r="D347" s="26" t="n">
        <f aca="false">Pipe_Tally!G347</f>
        <v>4.276</v>
      </c>
      <c r="E347" s="24" t="n">
        <f aca="false">Pipe_Tally!L347</f>
        <v>1815.7</v>
      </c>
      <c r="F347" s="24" t="n">
        <f aca="false">Pipe_Tally!M347</f>
        <v>1847.44</v>
      </c>
      <c r="G347" s="24" t="n">
        <f aca="false">MAX(0,MIN(F347,Well_Data!$B$10)-MAX(E347,Well_Data!$B$23))</f>
        <v>0</v>
      </c>
      <c r="H347" s="26" t="n">
        <f aca="false">G347*(Well_Data!$B$26^2-C347^2)/1029.4</f>
        <v>0</v>
      </c>
      <c r="I347" s="24" t="n">
        <f aca="false">MAX(0,MIN(F347,Well_Data!$B$23)-E347)</f>
        <v>31.74</v>
      </c>
      <c r="J347" s="26" t="n">
        <f aca="false">I347*(Well_Data!$B$25^2-C347^2)/1029.4</f>
        <v>1.5527674510783</v>
      </c>
      <c r="K347" s="25" t="n">
        <f aca="false">D347^2/1029.4</f>
        <v>0.0177619739654167</v>
      </c>
      <c r="L347" s="24" t="n">
        <f aca="false">F347-E347</f>
        <v>31.74</v>
      </c>
      <c r="M347" s="26" t="n">
        <f aca="false">K347*L347</f>
        <v>0.563765053662328</v>
      </c>
    </row>
    <row r="348" customFormat="false" ht="15" hidden="false" customHeight="true" outlineLevel="0" collapsed="false">
      <c r="A348" s="19" t="n">
        <f aca="false">Pipe_Tally!A348</f>
        <v>347</v>
      </c>
      <c r="B348" s="19" t="str">
        <f aca="false">Pipe_Tally!D348</f>
        <v>5in 19.50 ppf S-135 drill pipe</v>
      </c>
      <c r="C348" s="26" t="n">
        <f aca="false">Pipe_Tally!F348</f>
        <v>5</v>
      </c>
      <c r="D348" s="26" t="n">
        <f aca="false">Pipe_Tally!G348</f>
        <v>4.276</v>
      </c>
      <c r="E348" s="24" t="n">
        <f aca="false">Pipe_Tally!L348</f>
        <v>1784.15</v>
      </c>
      <c r="F348" s="24" t="n">
        <f aca="false">Pipe_Tally!M348</f>
        <v>1815.7</v>
      </c>
      <c r="G348" s="24" t="n">
        <f aca="false">MAX(0,MIN(F348,Well_Data!$B$10)-MAX(E348,Well_Data!$B$23))</f>
        <v>0</v>
      </c>
      <c r="H348" s="26" t="n">
        <f aca="false">G348*(Well_Data!$B$26^2-C348^2)/1029.4</f>
        <v>0</v>
      </c>
      <c r="I348" s="24" t="n">
        <f aca="false">MAX(0,MIN(F348,Well_Data!$B$23)-E348)</f>
        <v>31.55</v>
      </c>
      <c r="J348" s="26" t="n">
        <f aca="false">I348*(Well_Data!$B$25^2-C348^2)/1029.4</f>
        <v>1.54347237181853</v>
      </c>
      <c r="K348" s="25" t="n">
        <f aca="false">D348^2/1029.4</f>
        <v>0.0177619739654167</v>
      </c>
      <c r="L348" s="24" t="n">
        <f aca="false">F348-E348</f>
        <v>31.55</v>
      </c>
      <c r="M348" s="26" t="n">
        <f aca="false">K348*L348</f>
        <v>0.560390278608898</v>
      </c>
    </row>
    <row r="349" customFormat="false" ht="15" hidden="false" customHeight="true" outlineLevel="0" collapsed="false">
      <c r="A349" s="19" t="n">
        <f aca="false">Pipe_Tally!A349</f>
        <v>348</v>
      </c>
      <c r="B349" s="19" t="str">
        <f aca="false">Pipe_Tally!D349</f>
        <v>5in 19.50 ppf S-135 drill pipe</v>
      </c>
      <c r="C349" s="26" t="n">
        <f aca="false">Pipe_Tally!F349</f>
        <v>5</v>
      </c>
      <c r="D349" s="26" t="n">
        <f aca="false">Pipe_Tally!G349</f>
        <v>4.276</v>
      </c>
      <c r="E349" s="24" t="n">
        <f aca="false">Pipe_Tally!L349</f>
        <v>1752.94</v>
      </c>
      <c r="F349" s="24" t="n">
        <f aca="false">Pipe_Tally!M349</f>
        <v>1784.15</v>
      </c>
      <c r="G349" s="24" t="n">
        <f aca="false">MAX(0,MIN(F349,Well_Data!$B$10)-MAX(E349,Well_Data!$B$23))</f>
        <v>0</v>
      </c>
      <c r="H349" s="26" t="n">
        <f aca="false">G349*(Well_Data!$B$26^2-C349^2)/1029.4</f>
        <v>0</v>
      </c>
      <c r="I349" s="24" t="n">
        <f aca="false">MAX(0,MIN(F349,Well_Data!$B$23)-E349)</f>
        <v>31.21</v>
      </c>
      <c r="J349" s="26" t="n">
        <f aca="false">I349*(Well_Data!$B$25^2-C349^2)/1029.4</f>
        <v>1.52683907209054</v>
      </c>
      <c r="K349" s="25" t="n">
        <f aca="false">D349^2/1029.4</f>
        <v>0.0177619739654167</v>
      </c>
      <c r="L349" s="24" t="n">
        <f aca="false">F349-E349</f>
        <v>31.21</v>
      </c>
      <c r="M349" s="26" t="n">
        <f aca="false">K349*L349</f>
        <v>0.554351207460657</v>
      </c>
    </row>
    <row r="350" customFormat="false" ht="15" hidden="false" customHeight="true" outlineLevel="0" collapsed="false">
      <c r="A350" s="19" t="n">
        <f aca="false">Pipe_Tally!A350</f>
        <v>349</v>
      </c>
      <c r="B350" s="19" t="str">
        <f aca="false">Pipe_Tally!D350</f>
        <v>5in 19.50 ppf S-135 drill pipe</v>
      </c>
      <c r="C350" s="26" t="n">
        <f aca="false">Pipe_Tally!F350</f>
        <v>5</v>
      </c>
      <c r="D350" s="26" t="n">
        <f aca="false">Pipe_Tally!G350</f>
        <v>4.276</v>
      </c>
      <c r="E350" s="24" t="n">
        <f aca="false">Pipe_Tally!L350</f>
        <v>1721.53</v>
      </c>
      <c r="F350" s="24" t="n">
        <f aca="false">Pipe_Tally!M350</f>
        <v>1752.94</v>
      </c>
      <c r="G350" s="24" t="n">
        <f aca="false">MAX(0,MIN(F350,Well_Data!$B$10)-MAX(E350,Well_Data!$B$23))</f>
        <v>0</v>
      </c>
      <c r="H350" s="26" t="n">
        <f aca="false">G350*(Well_Data!$B$26^2-C350^2)/1029.4</f>
        <v>0</v>
      </c>
      <c r="I350" s="24" t="n">
        <f aca="false">MAX(0,MIN(F350,Well_Data!$B$23)-E350)</f>
        <v>31.4100000000001</v>
      </c>
      <c r="J350" s="26" t="n">
        <f aca="false">I350*(Well_Data!$B$25^2-C350^2)/1029.4</f>
        <v>1.53662336604819</v>
      </c>
      <c r="K350" s="25" t="n">
        <f aca="false">D350^2/1029.4</f>
        <v>0.0177619739654167</v>
      </c>
      <c r="L350" s="24" t="n">
        <f aca="false">F350-E350</f>
        <v>31.4100000000001</v>
      </c>
      <c r="M350" s="26" t="n">
        <f aca="false">K350*L350</f>
        <v>0.557903602253741</v>
      </c>
    </row>
    <row r="351" customFormat="false" ht="15" hidden="false" customHeight="true" outlineLevel="0" collapsed="false">
      <c r="A351" s="19" t="n">
        <f aca="false">Pipe_Tally!A351</f>
        <v>350</v>
      </c>
      <c r="B351" s="19" t="str">
        <f aca="false">Pipe_Tally!D351</f>
        <v>5in 19.50 ppf S-135 drill pipe</v>
      </c>
      <c r="C351" s="26" t="n">
        <f aca="false">Pipe_Tally!F351</f>
        <v>5</v>
      </c>
      <c r="D351" s="26" t="n">
        <f aca="false">Pipe_Tally!G351</f>
        <v>4.276</v>
      </c>
      <c r="E351" s="24" t="n">
        <f aca="false">Pipe_Tally!L351</f>
        <v>1690.39</v>
      </c>
      <c r="F351" s="24" t="n">
        <f aca="false">Pipe_Tally!M351</f>
        <v>1721.53</v>
      </c>
      <c r="G351" s="24" t="n">
        <f aca="false">MAX(0,MIN(F351,Well_Data!$B$10)-MAX(E351,Well_Data!$B$23))</f>
        <v>0</v>
      </c>
      <c r="H351" s="26" t="n">
        <f aca="false">G351*(Well_Data!$B$26^2-C351^2)/1029.4</f>
        <v>0</v>
      </c>
      <c r="I351" s="24" t="n">
        <f aca="false">MAX(0,MIN(F351,Well_Data!$B$23)-E351)</f>
        <v>31.1400000000001</v>
      </c>
      <c r="J351" s="26" t="n">
        <f aca="false">I351*(Well_Data!$B$25^2-C351^2)/1029.4</f>
        <v>1.52341456920537</v>
      </c>
      <c r="K351" s="25" t="n">
        <f aca="false">D351^2/1029.4</f>
        <v>0.0177619739654167</v>
      </c>
      <c r="L351" s="24" t="n">
        <f aca="false">F351-E351</f>
        <v>31.1400000000001</v>
      </c>
      <c r="M351" s="26" t="n">
        <f aca="false">K351*L351</f>
        <v>0.553107869283079</v>
      </c>
    </row>
    <row r="352" customFormat="false" ht="15" hidden="false" customHeight="true" outlineLevel="0" collapsed="false">
      <c r="A352" s="19" t="n">
        <f aca="false">Pipe_Tally!A352</f>
        <v>351</v>
      </c>
      <c r="B352" s="19" t="str">
        <f aca="false">Pipe_Tally!D352</f>
        <v>5in 19.50 ppf S-135 drill pipe</v>
      </c>
      <c r="C352" s="26" t="n">
        <f aca="false">Pipe_Tally!F352</f>
        <v>5</v>
      </c>
      <c r="D352" s="26" t="n">
        <f aca="false">Pipe_Tally!G352</f>
        <v>4.276</v>
      </c>
      <c r="E352" s="24" t="n">
        <f aca="false">Pipe_Tally!L352</f>
        <v>1659.34</v>
      </c>
      <c r="F352" s="24" t="n">
        <f aca="false">Pipe_Tally!M352</f>
        <v>1690.39</v>
      </c>
      <c r="G352" s="24" t="n">
        <f aca="false">MAX(0,MIN(F352,Well_Data!$B$10)-MAX(E352,Well_Data!$B$23))</f>
        <v>0</v>
      </c>
      <c r="H352" s="26" t="n">
        <f aca="false">G352*(Well_Data!$B$26^2-C352^2)/1029.4</f>
        <v>0</v>
      </c>
      <c r="I352" s="24" t="n">
        <f aca="false">MAX(0,MIN(F352,Well_Data!$B$23)-E352)</f>
        <v>31.05</v>
      </c>
      <c r="J352" s="26" t="n">
        <f aca="false">I352*(Well_Data!$B$25^2-C352^2)/1029.4</f>
        <v>1.51901163692442</v>
      </c>
      <c r="K352" s="25" t="n">
        <f aca="false">D352^2/1029.4</f>
        <v>0.0177619739654167</v>
      </c>
      <c r="L352" s="24" t="n">
        <f aca="false">F352-E352</f>
        <v>31.05</v>
      </c>
      <c r="M352" s="26" t="n">
        <f aca="false">K352*L352</f>
        <v>0.551509291626189</v>
      </c>
    </row>
    <row r="353" customFormat="false" ht="15" hidden="false" customHeight="true" outlineLevel="0" collapsed="false">
      <c r="A353" s="19" t="n">
        <f aca="false">Pipe_Tally!A353</f>
        <v>352</v>
      </c>
      <c r="B353" s="19" t="str">
        <f aca="false">Pipe_Tally!D353</f>
        <v>5in 19.50 ppf S-135 drill pipe</v>
      </c>
      <c r="C353" s="26" t="n">
        <f aca="false">Pipe_Tally!F353</f>
        <v>5</v>
      </c>
      <c r="D353" s="26" t="n">
        <f aca="false">Pipe_Tally!G353</f>
        <v>4.276</v>
      </c>
      <c r="E353" s="24" t="n">
        <f aca="false">Pipe_Tally!L353</f>
        <v>1627.83</v>
      </c>
      <c r="F353" s="24" t="n">
        <f aca="false">Pipe_Tally!M353</f>
        <v>1659.34</v>
      </c>
      <c r="G353" s="24" t="n">
        <f aca="false">MAX(0,MIN(F353,Well_Data!$B$10)-MAX(E353,Well_Data!$B$23))</f>
        <v>0</v>
      </c>
      <c r="H353" s="26" t="n">
        <f aca="false">G353*(Well_Data!$B$26^2-C353^2)/1029.4</f>
        <v>0</v>
      </c>
      <c r="I353" s="24" t="n">
        <f aca="false">MAX(0,MIN(F353,Well_Data!$B$23)-E353)</f>
        <v>31.51</v>
      </c>
      <c r="J353" s="26" t="n">
        <f aca="false">I353*(Well_Data!$B$25^2-C353^2)/1029.4</f>
        <v>1.54151551302701</v>
      </c>
      <c r="K353" s="25" t="n">
        <f aca="false">D353^2/1029.4</f>
        <v>0.0177619739654167</v>
      </c>
      <c r="L353" s="24" t="n">
        <f aca="false">F353-E353</f>
        <v>31.51</v>
      </c>
      <c r="M353" s="26" t="n">
        <f aca="false">K353*L353</f>
        <v>0.559679799650282</v>
      </c>
    </row>
    <row r="354" customFormat="false" ht="15" hidden="false" customHeight="true" outlineLevel="0" collapsed="false">
      <c r="A354" s="19" t="n">
        <f aca="false">Pipe_Tally!A354</f>
        <v>353</v>
      </c>
      <c r="B354" s="19" t="str">
        <f aca="false">Pipe_Tally!D354</f>
        <v>5in 19.50 ppf S-135 drill pipe</v>
      </c>
      <c r="C354" s="26" t="n">
        <f aca="false">Pipe_Tally!F354</f>
        <v>5</v>
      </c>
      <c r="D354" s="26" t="n">
        <f aca="false">Pipe_Tally!G354</f>
        <v>4.276</v>
      </c>
      <c r="E354" s="24" t="n">
        <f aca="false">Pipe_Tally!L354</f>
        <v>1596.42</v>
      </c>
      <c r="F354" s="24" t="n">
        <f aca="false">Pipe_Tally!M354</f>
        <v>1627.83</v>
      </c>
      <c r="G354" s="24" t="n">
        <f aca="false">MAX(0,MIN(F354,Well_Data!$B$10)-MAX(E354,Well_Data!$B$23))</f>
        <v>0</v>
      </c>
      <c r="H354" s="26" t="n">
        <f aca="false">G354*(Well_Data!$B$26^2-C354^2)/1029.4</f>
        <v>0</v>
      </c>
      <c r="I354" s="24" t="n">
        <f aca="false">MAX(0,MIN(F354,Well_Data!$B$23)-E354)</f>
        <v>31.4100000000001</v>
      </c>
      <c r="J354" s="26" t="n">
        <f aca="false">I354*(Well_Data!$B$25^2-C354^2)/1029.4</f>
        <v>1.53662336604819</v>
      </c>
      <c r="K354" s="25" t="n">
        <f aca="false">D354^2/1029.4</f>
        <v>0.0177619739654167</v>
      </c>
      <c r="L354" s="24" t="n">
        <f aca="false">F354-E354</f>
        <v>31.4100000000001</v>
      </c>
      <c r="M354" s="26" t="n">
        <f aca="false">K354*L354</f>
        <v>0.557903602253741</v>
      </c>
    </row>
    <row r="355" customFormat="false" ht="15" hidden="false" customHeight="true" outlineLevel="0" collapsed="false">
      <c r="A355" s="19" t="n">
        <f aca="false">Pipe_Tally!A355</f>
        <v>354</v>
      </c>
      <c r="B355" s="19" t="str">
        <f aca="false">Pipe_Tally!D355</f>
        <v>5in 19.50 ppf S-135 drill pipe</v>
      </c>
      <c r="C355" s="26" t="n">
        <f aca="false">Pipe_Tally!F355</f>
        <v>5</v>
      </c>
      <c r="D355" s="26" t="n">
        <f aca="false">Pipe_Tally!G355</f>
        <v>4.276</v>
      </c>
      <c r="E355" s="24" t="n">
        <f aca="false">Pipe_Tally!L355</f>
        <v>1564.92</v>
      </c>
      <c r="F355" s="24" t="n">
        <f aca="false">Pipe_Tally!M355</f>
        <v>1596.42</v>
      </c>
      <c r="G355" s="24" t="n">
        <f aca="false">MAX(0,MIN(F355,Well_Data!$B$10)-MAX(E355,Well_Data!$B$23))</f>
        <v>0</v>
      </c>
      <c r="H355" s="26" t="n">
        <f aca="false">G355*(Well_Data!$B$26^2-C355^2)/1029.4</f>
        <v>0</v>
      </c>
      <c r="I355" s="24" t="n">
        <f aca="false">MAX(0,MIN(F355,Well_Data!$B$23)-E355)</f>
        <v>31.5</v>
      </c>
      <c r="J355" s="26" t="n">
        <f aca="false">I355*(Well_Data!$B$25^2-C355^2)/1029.4</f>
        <v>1.54102629832912</v>
      </c>
      <c r="K355" s="25" t="n">
        <f aca="false">D355^2/1029.4</f>
        <v>0.0177619739654167</v>
      </c>
      <c r="L355" s="24" t="n">
        <f aca="false">F355-E355</f>
        <v>31.5</v>
      </c>
      <c r="M355" s="26" t="n">
        <f aca="false">K355*L355</f>
        <v>0.559502179910628</v>
      </c>
    </row>
    <row r="356" customFormat="false" ht="15" hidden="false" customHeight="true" outlineLevel="0" collapsed="false">
      <c r="A356" s="19" t="n">
        <f aca="false">Pipe_Tally!A356</f>
        <v>355</v>
      </c>
      <c r="B356" s="19" t="str">
        <f aca="false">Pipe_Tally!D356</f>
        <v>5in 19.50 ppf S-135 drill pipe</v>
      </c>
      <c r="C356" s="26" t="n">
        <f aca="false">Pipe_Tally!F356</f>
        <v>5</v>
      </c>
      <c r="D356" s="26" t="n">
        <f aca="false">Pipe_Tally!G356</f>
        <v>4.276</v>
      </c>
      <c r="E356" s="24" t="n">
        <f aca="false">Pipe_Tally!L356</f>
        <v>1533.82</v>
      </c>
      <c r="F356" s="24" t="n">
        <f aca="false">Pipe_Tally!M356</f>
        <v>1564.92</v>
      </c>
      <c r="G356" s="24" t="n">
        <f aca="false">MAX(0,MIN(F356,Well_Data!$B$10)-MAX(E356,Well_Data!$B$23))</f>
        <v>0</v>
      </c>
      <c r="H356" s="26" t="n">
        <f aca="false">G356*(Well_Data!$B$26^2-C356^2)/1029.4</f>
        <v>0</v>
      </c>
      <c r="I356" s="24" t="n">
        <f aca="false">MAX(0,MIN(F356,Well_Data!$B$23)-E356)</f>
        <v>31.0999999999999</v>
      </c>
      <c r="J356" s="26" t="n">
        <f aca="false">I356*(Well_Data!$B$25^2-C356^2)/1029.4</f>
        <v>1.52145771041383</v>
      </c>
      <c r="K356" s="25" t="n">
        <f aca="false">D356^2/1029.4</f>
        <v>0.0177619739654167</v>
      </c>
      <c r="L356" s="24" t="n">
        <f aca="false">F356-E356</f>
        <v>31.0999999999999</v>
      </c>
      <c r="M356" s="26" t="n">
        <f aca="false">K356*L356</f>
        <v>0.552397390324459</v>
      </c>
    </row>
    <row r="357" customFormat="false" ht="15" hidden="false" customHeight="true" outlineLevel="0" collapsed="false">
      <c r="A357" s="19" t="n">
        <f aca="false">Pipe_Tally!A357</f>
        <v>356</v>
      </c>
      <c r="B357" s="19" t="str">
        <f aca="false">Pipe_Tally!D357</f>
        <v>5in 19.50 ppf S-135 drill pipe</v>
      </c>
      <c r="C357" s="26" t="n">
        <f aca="false">Pipe_Tally!F357</f>
        <v>5</v>
      </c>
      <c r="D357" s="26" t="n">
        <f aca="false">Pipe_Tally!G357</f>
        <v>4.276</v>
      </c>
      <c r="E357" s="24" t="n">
        <f aca="false">Pipe_Tally!L357</f>
        <v>1502.75</v>
      </c>
      <c r="F357" s="24" t="n">
        <f aca="false">Pipe_Tally!M357</f>
        <v>1533.82</v>
      </c>
      <c r="G357" s="24" t="n">
        <f aca="false">MAX(0,MIN(F357,Well_Data!$B$10)-MAX(E357,Well_Data!$B$23))</f>
        <v>0</v>
      </c>
      <c r="H357" s="26" t="n">
        <f aca="false">G357*(Well_Data!$B$26^2-C357^2)/1029.4</f>
        <v>0</v>
      </c>
      <c r="I357" s="24" t="n">
        <f aca="false">MAX(0,MIN(F357,Well_Data!$B$23)-E357)</f>
        <v>31.0699999999999</v>
      </c>
      <c r="J357" s="26" t="n">
        <f aca="false">I357*(Well_Data!$B$25^2-C357^2)/1029.4</f>
        <v>1.51999006632018</v>
      </c>
      <c r="K357" s="25" t="n">
        <f aca="false">D357^2/1029.4</f>
        <v>0.0177619739654167</v>
      </c>
      <c r="L357" s="24" t="n">
        <f aca="false">F357-E357</f>
        <v>31.0699999999999</v>
      </c>
      <c r="M357" s="26" t="n">
        <f aca="false">K357*L357</f>
        <v>0.551864531105497</v>
      </c>
    </row>
    <row r="358" customFormat="false" ht="15" hidden="false" customHeight="true" outlineLevel="0" collapsed="false">
      <c r="A358" s="19" t="n">
        <f aca="false">Pipe_Tally!A358</f>
        <v>357</v>
      </c>
      <c r="B358" s="19" t="str">
        <f aca="false">Pipe_Tally!D358</f>
        <v>5in 19.50 ppf S-135 drill pipe</v>
      </c>
      <c r="C358" s="26" t="n">
        <f aca="false">Pipe_Tally!F358</f>
        <v>5</v>
      </c>
      <c r="D358" s="26" t="n">
        <f aca="false">Pipe_Tally!G358</f>
        <v>4.276</v>
      </c>
      <c r="E358" s="24" t="n">
        <f aca="false">Pipe_Tally!L358</f>
        <v>1471.27</v>
      </c>
      <c r="F358" s="24" t="n">
        <f aca="false">Pipe_Tally!M358</f>
        <v>1502.75</v>
      </c>
      <c r="G358" s="24" t="n">
        <f aca="false">MAX(0,MIN(F358,Well_Data!$B$10)-MAX(E358,Well_Data!$B$23))</f>
        <v>0</v>
      </c>
      <c r="H358" s="26" t="n">
        <f aca="false">G358*(Well_Data!$B$26^2-C358^2)/1029.4</f>
        <v>0</v>
      </c>
      <c r="I358" s="24" t="n">
        <f aca="false">MAX(0,MIN(F358,Well_Data!$B$23)-E358)</f>
        <v>31.48</v>
      </c>
      <c r="J358" s="26" t="n">
        <f aca="false">I358*(Well_Data!$B$25^2-C358^2)/1029.4</f>
        <v>1.54004786893336</v>
      </c>
      <c r="K358" s="25" t="n">
        <f aca="false">D358^2/1029.4</f>
        <v>0.0177619739654167</v>
      </c>
      <c r="L358" s="24" t="n">
        <f aca="false">F358-E358</f>
        <v>31.48</v>
      </c>
      <c r="M358" s="26" t="n">
        <f aca="false">K358*L358</f>
        <v>0.559146940431319</v>
      </c>
    </row>
    <row r="359" customFormat="false" ht="15" hidden="false" customHeight="true" outlineLevel="0" collapsed="false">
      <c r="A359" s="19" t="n">
        <f aca="false">Pipe_Tally!A359</f>
        <v>358</v>
      </c>
      <c r="B359" s="19" t="str">
        <f aca="false">Pipe_Tally!D359</f>
        <v>5in 19.50 ppf S-135 drill pipe</v>
      </c>
      <c r="C359" s="26" t="n">
        <f aca="false">Pipe_Tally!F359</f>
        <v>5</v>
      </c>
      <c r="D359" s="26" t="n">
        <f aca="false">Pipe_Tally!G359</f>
        <v>4.276</v>
      </c>
      <c r="E359" s="24" t="n">
        <f aca="false">Pipe_Tally!L359</f>
        <v>1440.33</v>
      </c>
      <c r="F359" s="24" t="n">
        <f aca="false">Pipe_Tally!M359</f>
        <v>1471.27</v>
      </c>
      <c r="G359" s="24" t="n">
        <f aca="false">MAX(0,MIN(F359,Well_Data!$B$10)-MAX(E359,Well_Data!$B$23))</f>
        <v>0</v>
      </c>
      <c r="H359" s="26" t="n">
        <f aca="false">G359*(Well_Data!$B$26^2-C359^2)/1029.4</f>
        <v>0</v>
      </c>
      <c r="I359" s="24" t="n">
        <f aca="false">MAX(0,MIN(F359,Well_Data!$B$23)-E359)</f>
        <v>30.9400000000001</v>
      </c>
      <c r="J359" s="26" t="n">
        <f aca="false">I359*(Well_Data!$B$25^2-C359^2)/1029.4</f>
        <v>1.51363027524772</v>
      </c>
      <c r="K359" s="25" t="n">
        <f aca="false">D359^2/1029.4</f>
        <v>0.0177619739654167</v>
      </c>
      <c r="L359" s="24" t="n">
        <f aca="false">F359-E359</f>
        <v>30.9400000000001</v>
      </c>
      <c r="M359" s="26" t="n">
        <f aca="false">K359*L359</f>
        <v>0.549555474489995</v>
      </c>
    </row>
    <row r="360" customFormat="false" ht="15" hidden="false" customHeight="true" outlineLevel="0" collapsed="false">
      <c r="A360" s="19" t="n">
        <f aca="false">Pipe_Tally!A360</f>
        <v>359</v>
      </c>
      <c r="B360" s="19" t="str">
        <f aca="false">Pipe_Tally!D360</f>
        <v>5in 19.50 ppf S-135 drill pipe</v>
      </c>
      <c r="C360" s="26" t="n">
        <f aca="false">Pipe_Tally!F360</f>
        <v>5</v>
      </c>
      <c r="D360" s="26" t="n">
        <f aca="false">Pipe_Tally!G360</f>
        <v>4.276</v>
      </c>
      <c r="E360" s="24" t="n">
        <f aca="false">Pipe_Tally!L360</f>
        <v>1409.2</v>
      </c>
      <c r="F360" s="24" t="n">
        <f aca="false">Pipe_Tally!M360</f>
        <v>1440.33</v>
      </c>
      <c r="G360" s="24" t="n">
        <f aca="false">MAX(0,MIN(F360,Well_Data!$B$10)-MAX(E360,Well_Data!$B$23))</f>
        <v>0</v>
      </c>
      <c r="H360" s="26" t="n">
        <f aca="false">G360*(Well_Data!$B$26^2-C360^2)/1029.4</f>
        <v>0</v>
      </c>
      <c r="I360" s="24" t="n">
        <f aca="false">MAX(0,MIN(F360,Well_Data!$B$23)-E360)</f>
        <v>31.1300000000001</v>
      </c>
      <c r="J360" s="26" t="n">
        <f aca="false">I360*(Well_Data!$B$25^2-C360^2)/1029.4</f>
        <v>1.52292535450749</v>
      </c>
      <c r="K360" s="25" t="n">
        <f aca="false">D360^2/1029.4</f>
        <v>0.0177619739654167</v>
      </c>
      <c r="L360" s="24" t="n">
        <f aca="false">F360-E360</f>
        <v>31.1300000000001</v>
      </c>
      <c r="M360" s="26" t="n">
        <f aca="false">K360*L360</f>
        <v>0.552930249543425</v>
      </c>
    </row>
    <row r="361" customFormat="false" ht="15" hidden="false" customHeight="true" outlineLevel="0" collapsed="false">
      <c r="A361" s="19" t="n">
        <f aca="false">Pipe_Tally!A361</f>
        <v>360</v>
      </c>
      <c r="B361" s="19" t="str">
        <f aca="false">Pipe_Tally!D361</f>
        <v>5in 19.50 ppf S-135 drill pipe</v>
      </c>
      <c r="C361" s="26" t="n">
        <f aca="false">Pipe_Tally!F361</f>
        <v>5</v>
      </c>
      <c r="D361" s="26" t="n">
        <f aca="false">Pipe_Tally!G361</f>
        <v>4.276</v>
      </c>
      <c r="E361" s="24" t="n">
        <f aca="false">Pipe_Tally!L361</f>
        <v>1378.23</v>
      </c>
      <c r="F361" s="24" t="n">
        <f aca="false">Pipe_Tally!M361</f>
        <v>1409.2</v>
      </c>
      <c r="G361" s="24" t="n">
        <f aca="false">MAX(0,MIN(F361,Well_Data!$B$10)-MAX(E361,Well_Data!$B$23))</f>
        <v>0</v>
      </c>
      <c r="H361" s="26" t="n">
        <f aca="false">G361*(Well_Data!$B$26^2-C361^2)/1029.4</f>
        <v>0</v>
      </c>
      <c r="I361" s="24" t="n">
        <f aca="false">MAX(0,MIN(F361,Well_Data!$B$23)-E361)</f>
        <v>30.97</v>
      </c>
      <c r="J361" s="26" t="n">
        <f aca="false">I361*(Well_Data!$B$25^2-C361^2)/1029.4</f>
        <v>1.51509791934136</v>
      </c>
      <c r="K361" s="25" t="n">
        <f aca="false">D361^2/1029.4</f>
        <v>0.0177619739654167</v>
      </c>
      <c r="L361" s="24" t="n">
        <f aca="false">F361-E361</f>
        <v>30.97</v>
      </c>
      <c r="M361" s="26" t="n">
        <f aca="false">K361*L361</f>
        <v>0.550088333708957</v>
      </c>
    </row>
    <row r="362" customFormat="false" ht="15" hidden="false" customHeight="true" outlineLevel="0" collapsed="false">
      <c r="A362" s="19" t="n">
        <f aca="false">Pipe_Tally!A362</f>
        <v>361</v>
      </c>
      <c r="B362" s="19" t="str">
        <f aca="false">Pipe_Tally!D362</f>
        <v>5in 19.50 ppf S-135 drill pipe</v>
      </c>
      <c r="C362" s="26" t="n">
        <f aca="false">Pipe_Tally!F362</f>
        <v>5</v>
      </c>
      <c r="D362" s="26" t="n">
        <f aca="false">Pipe_Tally!G362</f>
        <v>4.276</v>
      </c>
      <c r="E362" s="24" t="n">
        <f aca="false">Pipe_Tally!L362</f>
        <v>1347.05</v>
      </c>
      <c r="F362" s="24" t="n">
        <f aca="false">Pipe_Tally!M362</f>
        <v>1378.23</v>
      </c>
      <c r="G362" s="24" t="n">
        <f aca="false">MAX(0,MIN(F362,Well_Data!$B$10)-MAX(E362,Well_Data!$B$23))</f>
        <v>0</v>
      </c>
      <c r="H362" s="26" t="n">
        <f aca="false">G362*(Well_Data!$B$26^2-C362^2)/1029.4</f>
        <v>0</v>
      </c>
      <c r="I362" s="24" t="n">
        <f aca="false">MAX(0,MIN(F362,Well_Data!$B$23)-E362)</f>
        <v>31.1800000000001</v>
      </c>
      <c r="J362" s="26" t="n">
        <f aca="false">I362*(Well_Data!$B$25^2-C362^2)/1029.4</f>
        <v>1.52537142799689</v>
      </c>
      <c r="K362" s="25" t="n">
        <f aca="false">D362^2/1029.4</f>
        <v>0.0177619739654167</v>
      </c>
      <c r="L362" s="24" t="n">
        <f aca="false">F362-E362</f>
        <v>31.1800000000001</v>
      </c>
      <c r="M362" s="26" t="n">
        <f aca="false">K362*L362</f>
        <v>0.553818348241695</v>
      </c>
    </row>
    <row r="363" customFormat="false" ht="15" hidden="false" customHeight="true" outlineLevel="0" collapsed="false">
      <c r="A363" s="19" t="n">
        <f aca="false">Pipe_Tally!A363</f>
        <v>362</v>
      </c>
      <c r="B363" s="19" t="str">
        <f aca="false">Pipe_Tally!D363</f>
        <v>5in 19.50 ppf S-135 drill pipe</v>
      </c>
      <c r="C363" s="26" t="n">
        <f aca="false">Pipe_Tally!F363</f>
        <v>5</v>
      </c>
      <c r="D363" s="26" t="n">
        <f aca="false">Pipe_Tally!G363</f>
        <v>4.276</v>
      </c>
      <c r="E363" s="24" t="n">
        <f aca="false">Pipe_Tally!L363</f>
        <v>1316.1</v>
      </c>
      <c r="F363" s="24" t="n">
        <f aca="false">Pipe_Tally!M363</f>
        <v>1347.05</v>
      </c>
      <c r="G363" s="24" t="n">
        <f aca="false">MAX(0,MIN(F363,Well_Data!$B$10)-MAX(E363,Well_Data!$B$23))</f>
        <v>0</v>
      </c>
      <c r="H363" s="26" t="n">
        <f aca="false">G363*(Well_Data!$B$26^2-C363^2)/1029.4</f>
        <v>0</v>
      </c>
      <c r="I363" s="24" t="n">
        <f aca="false">MAX(0,MIN(F363,Well_Data!$B$23)-E363)</f>
        <v>30.95</v>
      </c>
      <c r="J363" s="26" t="n">
        <f aca="false">I363*(Well_Data!$B$25^2-C363^2)/1029.4</f>
        <v>1.5141194899456</v>
      </c>
      <c r="K363" s="25" t="n">
        <f aca="false">D363^2/1029.4</f>
        <v>0.0177619739654167</v>
      </c>
      <c r="L363" s="24" t="n">
        <f aca="false">F363-E363</f>
        <v>30.95</v>
      </c>
      <c r="M363" s="26" t="n">
        <f aca="false">K363*L363</f>
        <v>0.549733094229649</v>
      </c>
    </row>
    <row r="364" customFormat="false" ht="15" hidden="false" customHeight="true" outlineLevel="0" collapsed="false">
      <c r="A364" s="19" t="n">
        <f aca="false">Pipe_Tally!A364</f>
        <v>363</v>
      </c>
      <c r="B364" s="19" t="str">
        <f aca="false">Pipe_Tally!D364</f>
        <v>5in 19.50 ppf S-135 drill pipe</v>
      </c>
      <c r="C364" s="26" t="n">
        <f aca="false">Pipe_Tally!F364</f>
        <v>5</v>
      </c>
      <c r="D364" s="26" t="n">
        <f aca="false">Pipe_Tally!G364</f>
        <v>4.276</v>
      </c>
      <c r="E364" s="24" t="n">
        <f aca="false">Pipe_Tally!L364</f>
        <v>1284.81</v>
      </c>
      <c r="F364" s="24" t="n">
        <f aca="false">Pipe_Tally!M364</f>
        <v>1316.1</v>
      </c>
      <c r="G364" s="24" t="n">
        <f aca="false">MAX(0,MIN(F364,Well_Data!$B$10)-MAX(E364,Well_Data!$B$23))</f>
        <v>0</v>
      </c>
      <c r="H364" s="26" t="n">
        <f aca="false">G364*(Well_Data!$B$26^2-C364^2)/1029.4</f>
        <v>0</v>
      </c>
      <c r="I364" s="24" t="n">
        <f aca="false">MAX(0,MIN(F364,Well_Data!$B$23)-E364)</f>
        <v>31.29</v>
      </c>
      <c r="J364" s="26" t="n">
        <f aca="false">I364*(Well_Data!$B$25^2-C364^2)/1029.4</f>
        <v>1.53075278967359</v>
      </c>
      <c r="K364" s="25" t="n">
        <f aca="false">D364^2/1029.4</f>
        <v>0.0177619739654167</v>
      </c>
      <c r="L364" s="24" t="n">
        <f aca="false">F364-E364</f>
        <v>31.29</v>
      </c>
      <c r="M364" s="26" t="n">
        <f aca="false">K364*L364</f>
        <v>0.555772165377889</v>
      </c>
    </row>
    <row r="365" customFormat="false" ht="15" hidden="false" customHeight="true" outlineLevel="0" collapsed="false">
      <c r="A365" s="19" t="n">
        <f aca="false">Pipe_Tally!A365</f>
        <v>364</v>
      </c>
      <c r="B365" s="19" t="str">
        <f aca="false">Pipe_Tally!D365</f>
        <v>5in 19.50 ppf S-135 drill pipe</v>
      </c>
      <c r="C365" s="26" t="n">
        <f aca="false">Pipe_Tally!F365</f>
        <v>5</v>
      </c>
      <c r="D365" s="26" t="n">
        <f aca="false">Pipe_Tally!G365</f>
        <v>4.276</v>
      </c>
      <c r="E365" s="24" t="n">
        <f aca="false">Pipe_Tally!L365</f>
        <v>1253.81</v>
      </c>
      <c r="F365" s="24" t="n">
        <f aca="false">Pipe_Tally!M365</f>
        <v>1284.81</v>
      </c>
      <c r="G365" s="24" t="n">
        <f aca="false">MAX(0,MIN(F365,Well_Data!$B$10)-MAX(E365,Well_Data!$B$23))</f>
        <v>0</v>
      </c>
      <c r="H365" s="26" t="n">
        <f aca="false">G365*(Well_Data!$B$26^2-C365^2)/1029.4</f>
        <v>0</v>
      </c>
      <c r="I365" s="24" t="n">
        <f aca="false">MAX(0,MIN(F365,Well_Data!$B$23)-E365)</f>
        <v>31</v>
      </c>
      <c r="J365" s="26" t="n">
        <f aca="false">I365*(Well_Data!$B$25^2-C365^2)/1029.4</f>
        <v>1.51656556343501</v>
      </c>
      <c r="K365" s="25" t="n">
        <f aca="false">D365^2/1029.4</f>
        <v>0.0177619739654167</v>
      </c>
      <c r="L365" s="24" t="n">
        <f aca="false">F365-E365</f>
        <v>31</v>
      </c>
      <c r="M365" s="26" t="n">
        <f aca="false">K365*L365</f>
        <v>0.550621192927919</v>
      </c>
    </row>
    <row r="366" customFormat="false" ht="15" hidden="false" customHeight="true" outlineLevel="0" collapsed="false">
      <c r="A366" s="19" t="n">
        <f aca="false">Pipe_Tally!A366</f>
        <v>365</v>
      </c>
      <c r="B366" s="19" t="str">
        <f aca="false">Pipe_Tally!D366</f>
        <v>5in 19.50 ppf S-135 drill pipe</v>
      </c>
      <c r="C366" s="26" t="n">
        <f aca="false">Pipe_Tally!F366</f>
        <v>5</v>
      </c>
      <c r="D366" s="26" t="n">
        <f aca="false">Pipe_Tally!G366</f>
        <v>4.276</v>
      </c>
      <c r="E366" s="24" t="n">
        <f aca="false">Pipe_Tally!L366</f>
        <v>1222.07</v>
      </c>
      <c r="F366" s="24" t="n">
        <f aca="false">Pipe_Tally!M366</f>
        <v>1253.81</v>
      </c>
      <c r="G366" s="24" t="n">
        <f aca="false">MAX(0,MIN(F366,Well_Data!$B$10)-MAX(E366,Well_Data!$B$23))</f>
        <v>0</v>
      </c>
      <c r="H366" s="26" t="n">
        <f aca="false">G366*(Well_Data!$B$26^2-C366^2)/1029.4</f>
        <v>0</v>
      </c>
      <c r="I366" s="24" t="n">
        <f aca="false">MAX(0,MIN(F366,Well_Data!$B$23)-E366)</f>
        <v>31.74</v>
      </c>
      <c r="J366" s="26" t="n">
        <f aca="false">I366*(Well_Data!$B$25^2-C366^2)/1029.4</f>
        <v>1.5527674510783</v>
      </c>
      <c r="K366" s="25" t="n">
        <f aca="false">D366^2/1029.4</f>
        <v>0.0177619739654167</v>
      </c>
      <c r="L366" s="24" t="n">
        <f aca="false">F366-E366</f>
        <v>31.74</v>
      </c>
      <c r="M366" s="26" t="n">
        <f aca="false">K366*L366</f>
        <v>0.563765053662328</v>
      </c>
    </row>
    <row r="367" customFormat="false" ht="15" hidden="false" customHeight="true" outlineLevel="0" collapsed="false">
      <c r="A367" s="19" t="n">
        <f aca="false">Pipe_Tally!A367</f>
        <v>366</v>
      </c>
      <c r="B367" s="19" t="str">
        <f aca="false">Pipe_Tally!D367</f>
        <v>5in 19.50 ppf S-135 drill pipe</v>
      </c>
      <c r="C367" s="26" t="n">
        <f aca="false">Pipe_Tally!F367</f>
        <v>5</v>
      </c>
      <c r="D367" s="26" t="n">
        <f aca="false">Pipe_Tally!G367</f>
        <v>4.276</v>
      </c>
      <c r="E367" s="24" t="n">
        <f aca="false">Pipe_Tally!L367</f>
        <v>1190.85</v>
      </c>
      <c r="F367" s="24" t="n">
        <f aca="false">Pipe_Tally!M367</f>
        <v>1222.07</v>
      </c>
      <c r="G367" s="24" t="n">
        <f aca="false">MAX(0,MIN(F367,Well_Data!$B$10)-MAX(E367,Well_Data!$B$23))</f>
        <v>0</v>
      </c>
      <c r="H367" s="26" t="n">
        <f aca="false">G367*(Well_Data!$B$26^2-C367^2)/1029.4</f>
        <v>0</v>
      </c>
      <c r="I367" s="24" t="n">
        <f aca="false">MAX(0,MIN(F367,Well_Data!$B$23)-E367)</f>
        <v>31.22</v>
      </c>
      <c r="J367" s="26" t="n">
        <f aca="false">I367*(Well_Data!$B$25^2-C367^2)/1029.4</f>
        <v>1.52732828678842</v>
      </c>
      <c r="K367" s="25" t="n">
        <f aca="false">D367^2/1029.4</f>
        <v>0.0177619739654167</v>
      </c>
      <c r="L367" s="24" t="n">
        <f aca="false">F367-E367</f>
        <v>31.22</v>
      </c>
      <c r="M367" s="26" t="n">
        <f aca="false">K367*L367</f>
        <v>0.554528827200311</v>
      </c>
    </row>
    <row r="368" customFormat="false" ht="15" hidden="false" customHeight="true" outlineLevel="0" collapsed="false">
      <c r="A368" s="19" t="n">
        <f aca="false">Pipe_Tally!A368</f>
        <v>367</v>
      </c>
      <c r="B368" s="19" t="str">
        <f aca="false">Pipe_Tally!D368</f>
        <v>5in 19.50 ppf S-135 drill pipe</v>
      </c>
      <c r="C368" s="26" t="n">
        <f aca="false">Pipe_Tally!F368</f>
        <v>5</v>
      </c>
      <c r="D368" s="26" t="n">
        <f aca="false">Pipe_Tally!G368</f>
        <v>4.276</v>
      </c>
      <c r="E368" s="24" t="n">
        <f aca="false">Pipe_Tally!L368</f>
        <v>1159.76</v>
      </c>
      <c r="F368" s="24" t="n">
        <f aca="false">Pipe_Tally!M368</f>
        <v>1190.85</v>
      </c>
      <c r="G368" s="24" t="n">
        <f aca="false">MAX(0,MIN(F368,Well_Data!$B$10)-MAX(E368,Well_Data!$B$23))</f>
        <v>0</v>
      </c>
      <c r="H368" s="26" t="n">
        <f aca="false">G368*(Well_Data!$B$26^2-C368^2)/1029.4</f>
        <v>0</v>
      </c>
      <c r="I368" s="24" t="n">
        <f aca="false">MAX(0,MIN(F368,Well_Data!$B$23)-E368)</f>
        <v>31.0899999999999</v>
      </c>
      <c r="J368" s="26" t="n">
        <f aca="false">I368*(Well_Data!$B$25^2-C368^2)/1029.4</f>
        <v>1.52096849571595</v>
      </c>
      <c r="K368" s="25" t="n">
        <f aca="false">D368^2/1029.4</f>
        <v>0.0177619739654167</v>
      </c>
      <c r="L368" s="24" t="n">
        <f aca="false">F368-E368</f>
        <v>31.0899999999999</v>
      </c>
      <c r="M368" s="26" t="n">
        <f aca="false">K368*L368</f>
        <v>0.552219770584805</v>
      </c>
    </row>
    <row r="369" customFormat="false" ht="15" hidden="false" customHeight="true" outlineLevel="0" collapsed="false">
      <c r="A369" s="19" t="n">
        <f aca="false">Pipe_Tally!A369</f>
        <v>368</v>
      </c>
      <c r="B369" s="19" t="str">
        <f aca="false">Pipe_Tally!D369</f>
        <v>5in 19.50 ppf S-135 drill pipe</v>
      </c>
      <c r="C369" s="26" t="n">
        <f aca="false">Pipe_Tally!F369</f>
        <v>5</v>
      </c>
      <c r="D369" s="26" t="n">
        <f aca="false">Pipe_Tally!G369</f>
        <v>4.276</v>
      </c>
      <c r="E369" s="24" t="n">
        <f aca="false">Pipe_Tally!L369</f>
        <v>1128.38</v>
      </c>
      <c r="F369" s="24" t="n">
        <f aca="false">Pipe_Tally!M369</f>
        <v>1159.76</v>
      </c>
      <c r="G369" s="24" t="n">
        <f aca="false">MAX(0,MIN(F369,Well_Data!$B$10)-MAX(E369,Well_Data!$B$23))</f>
        <v>0</v>
      </c>
      <c r="H369" s="26" t="n">
        <f aca="false">G369*(Well_Data!$B$26^2-C369^2)/1029.4</f>
        <v>0</v>
      </c>
      <c r="I369" s="24" t="n">
        <f aca="false">MAX(0,MIN(F369,Well_Data!$B$23)-E369)</f>
        <v>31.3800000000001</v>
      </c>
      <c r="J369" s="26" t="n">
        <f aca="false">I369*(Well_Data!$B$25^2-C369^2)/1029.4</f>
        <v>1.53515572195454</v>
      </c>
      <c r="K369" s="25" t="n">
        <f aca="false">D369^2/1029.4</f>
        <v>0.0177619739654167</v>
      </c>
      <c r="L369" s="24" t="n">
        <f aca="false">F369-E369</f>
        <v>31.3800000000001</v>
      </c>
      <c r="M369" s="26" t="n">
        <f aca="false">K369*L369</f>
        <v>0.557370743034779</v>
      </c>
    </row>
    <row r="370" customFormat="false" ht="15" hidden="false" customHeight="true" outlineLevel="0" collapsed="false">
      <c r="A370" s="19" t="n">
        <f aca="false">Pipe_Tally!A370</f>
        <v>369</v>
      </c>
      <c r="B370" s="19" t="str">
        <f aca="false">Pipe_Tally!D370</f>
        <v>5in 19.50 ppf S-135 drill pipe</v>
      </c>
      <c r="C370" s="26" t="n">
        <f aca="false">Pipe_Tally!F370</f>
        <v>5</v>
      </c>
      <c r="D370" s="26" t="n">
        <f aca="false">Pipe_Tally!G370</f>
        <v>4.276</v>
      </c>
      <c r="E370" s="24" t="n">
        <f aca="false">Pipe_Tally!L370</f>
        <v>1097.24</v>
      </c>
      <c r="F370" s="24" t="n">
        <f aca="false">Pipe_Tally!M370</f>
        <v>1128.38</v>
      </c>
      <c r="G370" s="24" t="n">
        <f aca="false">MAX(0,MIN(F370,Well_Data!$B$10)-MAX(E370,Well_Data!$B$23))</f>
        <v>0</v>
      </c>
      <c r="H370" s="26" t="n">
        <f aca="false">G370*(Well_Data!$B$26^2-C370^2)/1029.4</f>
        <v>0</v>
      </c>
      <c r="I370" s="24" t="n">
        <f aca="false">MAX(0,MIN(F370,Well_Data!$B$23)-E370)</f>
        <v>31.1400000000001</v>
      </c>
      <c r="J370" s="26" t="n">
        <f aca="false">I370*(Well_Data!$B$25^2-C370^2)/1029.4</f>
        <v>1.52341456920537</v>
      </c>
      <c r="K370" s="25" t="n">
        <f aca="false">D370^2/1029.4</f>
        <v>0.0177619739654167</v>
      </c>
      <c r="L370" s="24" t="n">
        <f aca="false">F370-E370</f>
        <v>31.1400000000001</v>
      </c>
      <c r="M370" s="26" t="n">
        <f aca="false">K370*L370</f>
        <v>0.553107869283079</v>
      </c>
    </row>
    <row r="371" customFormat="false" ht="15" hidden="false" customHeight="true" outlineLevel="0" collapsed="false">
      <c r="A371" s="19" t="n">
        <f aca="false">Pipe_Tally!A371</f>
        <v>370</v>
      </c>
      <c r="B371" s="19" t="str">
        <f aca="false">Pipe_Tally!D371</f>
        <v>5in 19.50 ppf S-135 drill pipe</v>
      </c>
      <c r="C371" s="26" t="n">
        <f aca="false">Pipe_Tally!F371</f>
        <v>5</v>
      </c>
      <c r="D371" s="26" t="n">
        <f aca="false">Pipe_Tally!G371</f>
        <v>4.276</v>
      </c>
      <c r="E371" s="24" t="n">
        <f aca="false">Pipe_Tally!L371</f>
        <v>1065.87</v>
      </c>
      <c r="F371" s="24" t="n">
        <f aca="false">Pipe_Tally!M371</f>
        <v>1097.24</v>
      </c>
      <c r="G371" s="24" t="n">
        <f aca="false">MAX(0,MIN(F371,Well_Data!$B$10)-MAX(E371,Well_Data!$B$23))</f>
        <v>0</v>
      </c>
      <c r="H371" s="26" t="n">
        <f aca="false">G371*(Well_Data!$B$26^2-C371^2)/1029.4</f>
        <v>0</v>
      </c>
      <c r="I371" s="24" t="n">
        <f aca="false">MAX(0,MIN(F371,Well_Data!$B$23)-E371)</f>
        <v>31.3699999999999</v>
      </c>
      <c r="J371" s="26" t="n">
        <f aca="false">I371*(Well_Data!$B$25^2-C371^2)/1029.4</f>
        <v>1.53466650725665</v>
      </c>
      <c r="K371" s="25" t="n">
        <f aca="false">D371^2/1029.4</f>
        <v>0.0177619739654167</v>
      </c>
      <c r="L371" s="24" t="n">
        <f aca="false">F371-E371</f>
        <v>31.3699999999999</v>
      </c>
      <c r="M371" s="26" t="n">
        <f aca="false">K371*L371</f>
        <v>0.557193123295121</v>
      </c>
    </row>
    <row r="372" customFormat="false" ht="15" hidden="false" customHeight="true" outlineLevel="0" collapsed="false">
      <c r="A372" s="19" t="n">
        <f aca="false">Pipe_Tally!A372</f>
        <v>371</v>
      </c>
      <c r="B372" s="19" t="str">
        <f aca="false">Pipe_Tally!D372</f>
        <v>5in 19.50 ppf S-135 drill pipe</v>
      </c>
      <c r="C372" s="26" t="n">
        <f aca="false">Pipe_Tally!F372</f>
        <v>5</v>
      </c>
      <c r="D372" s="26" t="n">
        <f aca="false">Pipe_Tally!G372</f>
        <v>4.276</v>
      </c>
      <c r="E372" s="24" t="n">
        <f aca="false">Pipe_Tally!L372</f>
        <v>1034.59</v>
      </c>
      <c r="F372" s="24" t="n">
        <f aca="false">Pipe_Tally!M372</f>
        <v>1065.87</v>
      </c>
      <c r="G372" s="24" t="n">
        <f aca="false">MAX(0,MIN(F372,Well_Data!$B$10)-MAX(E372,Well_Data!$B$23))</f>
        <v>0</v>
      </c>
      <c r="H372" s="26" t="n">
        <f aca="false">G372*(Well_Data!$B$26^2-C372^2)/1029.4</f>
        <v>0</v>
      </c>
      <c r="I372" s="24" t="n">
        <f aca="false">MAX(0,MIN(F372,Well_Data!$B$23)-E372)</f>
        <v>31.28</v>
      </c>
      <c r="J372" s="26" t="n">
        <f aca="false">I372*(Well_Data!$B$25^2-C372^2)/1029.4</f>
        <v>1.53026357497571</v>
      </c>
      <c r="K372" s="25" t="n">
        <f aca="false">D372^2/1029.4</f>
        <v>0.0177619739654167</v>
      </c>
      <c r="L372" s="24" t="n">
        <f aca="false">F372-E372</f>
        <v>31.28</v>
      </c>
      <c r="M372" s="26" t="n">
        <f aca="false">K372*L372</f>
        <v>0.555594545638235</v>
      </c>
    </row>
    <row r="373" customFormat="false" ht="15" hidden="false" customHeight="true" outlineLevel="0" collapsed="false">
      <c r="A373" s="19" t="n">
        <f aca="false">Pipe_Tally!A373</f>
        <v>372</v>
      </c>
      <c r="B373" s="19" t="str">
        <f aca="false">Pipe_Tally!D373</f>
        <v>5in 19.50 ppf S-135 drill pipe</v>
      </c>
      <c r="C373" s="26" t="n">
        <f aca="false">Pipe_Tally!F373</f>
        <v>5</v>
      </c>
      <c r="D373" s="26" t="n">
        <f aca="false">Pipe_Tally!G373</f>
        <v>4.276</v>
      </c>
      <c r="E373" s="24" t="n">
        <f aca="false">Pipe_Tally!L373</f>
        <v>1003.16</v>
      </c>
      <c r="F373" s="24" t="n">
        <f aca="false">Pipe_Tally!M373</f>
        <v>1034.59</v>
      </c>
      <c r="G373" s="24" t="n">
        <f aca="false">MAX(0,MIN(F373,Well_Data!$B$10)-MAX(E373,Well_Data!$B$23))</f>
        <v>0</v>
      </c>
      <c r="H373" s="26" t="n">
        <f aca="false">G373*(Well_Data!$B$26^2-C373^2)/1029.4</f>
        <v>0</v>
      </c>
      <c r="I373" s="24" t="n">
        <f aca="false">MAX(0,MIN(F373,Well_Data!$B$23)-E373)</f>
        <v>31.4300000000001</v>
      </c>
      <c r="J373" s="26" t="n">
        <f aca="false">I373*(Well_Data!$B$25^2-C373^2)/1029.4</f>
        <v>1.53760179544395</v>
      </c>
      <c r="K373" s="25" t="n">
        <f aca="false">D373^2/1029.4</f>
        <v>0.0177619739654167</v>
      </c>
      <c r="L373" s="24" t="n">
        <f aca="false">F373-E373</f>
        <v>31.4300000000001</v>
      </c>
      <c r="M373" s="26" t="n">
        <f aca="false">K373*L373</f>
        <v>0.558258841733049</v>
      </c>
    </row>
    <row r="374" customFormat="false" ht="15" hidden="false" customHeight="true" outlineLevel="0" collapsed="false">
      <c r="A374" s="19" t="n">
        <f aca="false">Pipe_Tally!A374</f>
        <v>373</v>
      </c>
      <c r="B374" s="19" t="str">
        <f aca="false">Pipe_Tally!D374</f>
        <v>5in 19.50 ppf S-135 drill pipe</v>
      </c>
      <c r="C374" s="26" t="n">
        <f aca="false">Pipe_Tally!F374</f>
        <v>5</v>
      </c>
      <c r="D374" s="26" t="n">
        <f aca="false">Pipe_Tally!G374</f>
        <v>4.276</v>
      </c>
      <c r="E374" s="24" t="n">
        <f aca="false">Pipe_Tally!L374</f>
        <v>972.180000000002</v>
      </c>
      <c r="F374" s="24" t="n">
        <f aca="false">Pipe_Tally!M374</f>
        <v>1003.16</v>
      </c>
      <c r="G374" s="24" t="n">
        <f aca="false">MAX(0,MIN(F374,Well_Data!$B$10)-MAX(E374,Well_Data!$B$23))</f>
        <v>0</v>
      </c>
      <c r="H374" s="26" t="n">
        <f aca="false">G374*(Well_Data!$B$26^2-C374^2)/1029.4</f>
        <v>0</v>
      </c>
      <c r="I374" s="24" t="n">
        <f aca="false">MAX(0,MIN(F374,Well_Data!$B$23)-E374)</f>
        <v>30.98</v>
      </c>
      <c r="J374" s="26" t="n">
        <f aca="false">I374*(Well_Data!$B$25^2-C374^2)/1029.4</f>
        <v>1.51558713403925</v>
      </c>
      <c r="K374" s="25" t="n">
        <f aca="false">D374^2/1029.4</f>
        <v>0.0177619739654167</v>
      </c>
      <c r="L374" s="24" t="n">
        <f aca="false">F374-E374</f>
        <v>30.98</v>
      </c>
      <c r="M374" s="26" t="n">
        <f aca="false">K374*L374</f>
        <v>0.550265953448611</v>
      </c>
    </row>
    <row r="375" customFormat="false" ht="15" hidden="false" customHeight="true" outlineLevel="0" collapsed="false">
      <c r="A375" s="19" t="n">
        <f aca="false">Pipe_Tally!A375</f>
        <v>374</v>
      </c>
      <c r="B375" s="19" t="str">
        <f aca="false">Pipe_Tally!D375</f>
        <v>5in 19.50 ppf S-135 drill pipe</v>
      </c>
      <c r="C375" s="26" t="n">
        <f aca="false">Pipe_Tally!F375</f>
        <v>5</v>
      </c>
      <c r="D375" s="26" t="n">
        <f aca="false">Pipe_Tally!G375</f>
        <v>4.276</v>
      </c>
      <c r="E375" s="24" t="n">
        <f aca="false">Pipe_Tally!L375</f>
        <v>941.450000000003</v>
      </c>
      <c r="F375" s="24" t="n">
        <f aca="false">Pipe_Tally!M375</f>
        <v>972.180000000003</v>
      </c>
      <c r="G375" s="24" t="n">
        <f aca="false">MAX(0,MIN(F375,Well_Data!$B$10)-MAX(E375,Well_Data!$B$23))</f>
        <v>0</v>
      </c>
      <c r="H375" s="26" t="n">
        <f aca="false">G375*(Well_Data!$B$26^2-C375^2)/1029.4</f>
        <v>0</v>
      </c>
      <c r="I375" s="24" t="n">
        <f aca="false">MAX(0,MIN(F375,Well_Data!$B$23)-E375)</f>
        <v>30.73</v>
      </c>
      <c r="J375" s="26" t="n">
        <f aca="false">I375*(Well_Data!$B$25^2-C375^2)/1029.4</f>
        <v>1.50335676659219</v>
      </c>
      <c r="K375" s="25" t="n">
        <f aca="false">D375^2/1029.4</f>
        <v>0.0177619739654167</v>
      </c>
      <c r="L375" s="24" t="n">
        <f aca="false">F375-E375</f>
        <v>30.73</v>
      </c>
      <c r="M375" s="26" t="n">
        <f aca="false">K375*L375</f>
        <v>0.545825459957257</v>
      </c>
    </row>
    <row r="376" customFormat="false" ht="15" hidden="false" customHeight="true" outlineLevel="0" collapsed="false">
      <c r="A376" s="19" t="n">
        <f aca="false">Pipe_Tally!A376</f>
        <v>375</v>
      </c>
      <c r="B376" s="19" t="str">
        <f aca="false">Pipe_Tally!D376</f>
        <v>5in 19.50 ppf S-135 drill pipe</v>
      </c>
      <c r="C376" s="26" t="n">
        <f aca="false">Pipe_Tally!F376</f>
        <v>5</v>
      </c>
      <c r="D376" s="26" t="n">
        <f aca="false">Pipe_Tally!G376</f>
        <v>4.276</v>
      </c>
      <c r="E376" s="24" t="n">
        <f aca="false">Pipe_Tally!L376</f>
        <v>909.850000000002</v>
      </c>
      <c r="F376" s="24" t="n">
        <f aca="false">Pipe_Tally!M376</f>
        <v>941.450000000002</v>
      </c>
      <c r="G376" s="24" t="n">
        <f aca="false">MAX(0,MIN(F376,Well_Data!$B$10)-MAX(E376,Well_Data!$B$23))</f>
        <v>0</v>
      </c>
      <c r="H376" s="26" t="n">
        <f aca="false">G376*(Well_Data!$B$26^2-C376^2)/1029.4</f>
        <v>0</v>
      </c>
      <c r="I376" s="24" t="n">
        <f aca="false">MAX(0,MIN(F376,Well_Data!$B$23)-E376)</f>
        <v>31.6</v>
      </c>
      <c r="J376" s="26" t="n">
        <f aca="false">I376*(Well_Data!$B$25^2-C376^2)/1029.4</f>
        <v>1.54591844530795</v>
      </c>
      <c r="K376" s="25" t="n">
        <f aca="false">D376^2/1029.4</f>
        <v>0.0177619739654167</v>
      </c>
      <c r="L376" s="24" t="n">
        <f aca="false">F376-E376</f>
        <v>31.6</v>
      </c>
      <c r="M376" s="26" t="n">
        <f aca="false">K376*L376</f>
        <v>0.56127837730717</v>
      </c>
    </row>
    <row r="377" customFormat="false" ht="15" hidden="false" customHeight="true" outlineLevel="0" collapsed="false">
      <c r="A377" s="19" t="n">
        <f aca="false">Pipe_Tally!A377</f>
        <v>376</v>
      </c>
      <c r="B377" s="19" t="str">
        <f aca="false">Pipe_Tally!D377</f>
        <v>5in 19.50 ppf S-135 drill pipe</v>
      </c>
      <c r="C377" s="26" t="n">
        <f aca="false">Pipe_Tally!F377</f>
        <v>5</v>
      </c>
      <c r="D377" s="26" t="n">
        <f aca="false">Pipe_Tally!G377</f>
        <v>4.276</v>
      </c>
      <c r="E377" s="24" t="n">
        <f aca="false">Pipe_Tally!L377</f>
        <v>878.960000000003</v>
      </c>
      <c r="F377" s="24" t="n">
        <f aca="false">Pipe_Tally!M377</f>
        <v>909.850000000003</v>
      </c>
      <c r="G377" s="24" t="n">
        <f aca="false">MAX(0,MIN(F377,Well_Data!$B$10)-MAX(E377,Well_Data!$B$23))</f>
        <v>0</v>
      </c>
      <c r="H377" s="26" t="n">
        <f aca="false">G377*(Well_Data!$B$26^2-C377^2)/1029.4</f>
        <v>0</v>
      </c>
      <c r="I377" s="24" t="n">
        <f aca="false">MAX(0,MIN(F377,Well_Data!$B$23)-E377)</f>
        <v>30.89</v>
      </c>
      <c r="J377" s="26" t="n">
        <f aca="false">I377*(Well_Data!$B$25^2-C377^2)/1029.4</f>
        <v>1.5111842017583</v>
      </c>
      <c r="K377" s="25" t="n">
        <f aca="false">D377^2/1029.4</f>
        <v>0.0177619739654167</v>
      </c>
      <c r="L377" s="24" t="n">
        <f aca="false">F377-E377</f>
        <v>30.89</v>
      </c>
      <c r="M377" s="26" t="n">
        <f aca="false">K377*L377</f>
        <v>0.548667375791723</v>
      </c>
    </row>
    <row r="378" customFormat="false" ht="15" hidden="false" customHeight="true" outlineLevel="0" collapsed="false">
      <c r="A378" s="19" t="n">
        <f aca="false">Pipe_Tally!A378</f>
        <v>377</v>
      </c>
      <c r="B378" s="19" t="str">
        <f aca="false">Pipe_Tally!D378</f>
        <v>5in 19.50 ppf S-135 drill pipe</v>
      </c>
      <c r="C378" s="26" t="n">
        <f aca="false">Pipe_Tally!F378</f>
        <v>5</v>
      </c>
      <c r="D378" s="26" t="n">
        <f aca="false">Pipe_Tally!G378</f>
        <v>4.276</v>
      </c>
      <c r="E378" s="24" t="n">
        <f aca="false">Pipe_Tally!L378</f>
        <v>847.500000000004</v>
      </c>
      <c r="F378" s="24" t="n">
        <f aca="false">Pipe_Tally!M378</f>
        <v>878.960000000004</v>
      </c>
      <c r="G378" s="24" t="n">
        <f aca="false">MAX(0,MIN(F378,Well_Data!$B$10)-MAX(E378,Well_Data!$B$23))</f>
        <v>0</v>
      </c>
      <c r="H378" s="26" t="n">
        <f aca="false">G378*(Well_Data!$B$26^2-C378^2)/1029.4</f>
        <v>0</v>
      </c>
      <c r="I378" s="24" t="n">
        <f aca="false">MAX(0,MIN(F378,Well_Data!$B$23)-E378)</f>
        <v>31.46</v>
      </c>
      <c r="J378" s="26" t="n">
        <f aca="false">I378*(Well_Data!$B$25^2-C378^2)/1029.4</f>
        <v>1.5390694395376</v>
      </c>
      <c r="K378" s="25" t="n">
        <f aca="false">D378^2/1029.4</f>
        <v>0.0177619739654167</v>
      </c>
      <c r="L378" s="24" t="n">
        <f aca="false">F378-E378</f>
        <v>31.46</v>
      </c>
      <c r="M378" s="26" t="n">
        <f aca="false">K378*L378</f>
        <v>0.558791700952011</v>
      </c>
    </row>
    <row r="379" customFormat="false" ht="15" hidden="false" customHeight="true" outlineLevel="0" collapsed="false">
      <c r="A379" s="19" t="n">
        <f aca="false">Pipe_Tally!A379</f>
        <v>378</v>
      </c>
      <c r="B379" s="19" t="str">
        <f aca="false">Pipe_Tally!D379</f>
        <v>5in 19.50 ppf S-135 drill pipe</v>
      </c>
      <c r="C379" s="26" t="n">
        <f aca="false">Pipe_Tally!F379</f>
        <v>5</v>
      </c>
      <c r="D379" s="26" t="n">
        <f aca="false">Pipe_Tally!G379</f>
        <v>4.276</v>
      </c>
      <c r="E379" s="24" t="n">
        <f aca="false">Pipe_Tally!L379</f>
        <v>816.690000000004</v>
      </c>
      <c r="F379" s="24" t="n">
        <f aca="false">Pipe_Tally!M379</f>
        <v>847.500000000004</v>
      </c>
      <c r="G379" s="24" t="n">
        <f aca="false">MAX(0,MIN(F379,Well_Data!$B$10)-MAX(E379,Well_Data!$B$23))</f>
        <v>0</v>
      </c>
      <c r="H379" s="26" t="n">
        <f aca="false">G379*(Well_Data!$B$26^2-C379^2)/1029.4</f>
        <v>0</v>
      </c>
      <c r="I379" s="24" t="n">
        <f aca="false">MAX(0,MIN(F379,Well_Data!$B$23)-E379)</f>
        <v>30.8099999999999</v>
      </c>
      <c r="J379" s="26" t="n">
        <f aca="false">I379*(Well_Data!$B$25^2-C379^2)/1029.4</f>
        <v>1.50727048417524</v>
      </c>
      <c r="K379" s="25" t="n">
        <f aca="false">D379^2/1029.4</f>
        <v>0.0177619739654167</v>
      </c>
      <c r="L379" s="24" t="n">
        <f aca="false">F379-E379</f>
        <v>30.8099999999999</v>
      </c>
      <c r="M379" s="26" t="n">
        <f aca="false">K379*L379</f>
        <v>0.547246417874489</v>
      </c>
    </row>
    <row r="380" customFormat="false" ht="15" hidden="false" customHeight="true" outlineLevel="0" collapsed="false">
      <c r="A380" s="19" t="n">
        <f aca="false">Pipe_Tally!A380</f>
        <v>379</v>
      </c>
      <c r="B380" s="19" t="str">
        <f aca="false">Pipe_Tally!D380</f>
        <v>5in 19.50 ppf S-135 drill pipe</v>
      </c>
      <c r="C380" s="26" t="n">
        <f aca="false">Pipe_Tally!F380</f>
        <v>5</v>
      </c>
      <c r="D380" s="26" t="n">
        <f aca="false">Pipe_Tally!G380</f>
        <v>4.276</v>
      </c>
      <c r="E380" s="24" t="n">
        <f aca="false">Pipe_Tally!L380</f>
        <v>786.010000000004</v>
      </c>
      <c r="F380" s="24" t="n">
        <f aca="false">Pipe_Tally!M380</f>
        <v>816.690000000004</v>
      </c>
      <c r="G380" s="24" t="n">
        <f aca="false">MAX(0,MIN(F380,Well_Data!$B$10)-MAX(E380,Well_Data!$B$23))</f>
        <v>0</v>
      </c>
      <c r="H380" s="26" t="n">
        <f aca="false">G380*(Well_Data!$B$26^2-C380^2)/1029.4</f>
        <v>0</v>
      </c>
      <c r="I380" s="24" t="n">
        <f aca="false">MAX(0,MIN(F380,Well_Data!$B$23)-E380)</f>
        <v>30.68</v>
      </c>
      <c r="J380" s="26" t="n">
        <f aca="false">I380*(Well_Data!$B$25^2-C380^2)/1029.4</f>
        <v>1.50091069310278</v>
      </c>
      <c r="K380" s="25" t="n">
        <f aca="false">D380^2/1029.4</f>
        <v>0.0177619739654167</v>
      </c>
      <c r="L380" s="24" t="n">
        <f aca="false">F380-E380</f>
        <v>30.68</v>
      </c>
      <c r="M380" s="26" t="n">
        <f aca="false">K380*L380</f>
        <v>0.544937361258985</v>
      </c>
    </row>
    <row r="381" customFormat="false" ht="15" hidden="false" customHeight="true" outlineLevel="0" collapsed="false">
      <c r="A381" s="19" t="n">
        <f aca="false">Pipe_Tally!A381</f>
        <v>380</v>
      </c>
      <c r="B381" s="19" t="str">
        <f aca="false">Pipe_Tally!D381</f>
        <v>5in 19.50 ppf S-135 drill pipe</v>
      </c>
      <c r="C381" s="26" t="n">
        <f aca="false">Pipe_Tally!F381</f>
        <v>5</v>
      </c>
      <c r="D381" s="26" t="n">
        <f aca="false">Pipe_Tally!G381</f>
        <v>4.276</v>
      </c>
      <c r="E381" s="24" t="n">
        <f aca="false">Pipe_Tally!L381</f>
        <v>754.760000000004</v>
      </c>
      <c r="F381" s="24" t="n">
        <f aca="false">Pipe_Tally!M381</f>
        <v>786.010000000004</v>
      </c>
      <c r="G381" s="24" t="n">
        <f aca="false">MAX(0,MIN(F381,Well_Data!$B$10)-MAX(E381,Well_Data!$B$23))</f>
        <v>0</v>
      </c>
      <c r="H381" s="26" t="n">
        <f aca="false">G381*(Well_Data!$B$26^2-C381^2)/1029.4</f>
        <v>0</v>
      </c>
      <c r="I381" s="24" t="n">
        <f aca="false">MAX(0,MIN(F381,Well_Data!$B$23)-E381)</f>
        <v>31.25</v>
      </c>
      <c r="J381" s="26" t="n">
        <f aca="false">I381*(Well_Data!$B$25^2-C381^2)/1029.4</f>
        <v>1.52879593088207</v>
      </c>
      <c r="K381" s="25" t="n">
        <f aca="false">D381^2/1029.4</f>
        <v>0.0177619739654167</v>
      </c>
      <c r="L381" s="24" t="n">
        <f aca="false">F381-E381</f>
        <v>31.25</v>
      </c>
      <c r="M381" s="26" t="n">
        <f aca="false">K381*L381</f>
        <v>0.555061686419273</v>
      </c>
    </row>
    <row r="382" customFormat="false" ht="15" hidden="false" customHeight="true" outlineLevel="0" collapsed="false">
      <c r="A382" s="19" t="n">
        <f aca="false">Pipe_Tally!A382</f>
        <v>381</v>
      </c>
      <c r="B382" s="19" t="str">
        <f aca="false">Pipe_Tally!D382</f>
        <v>5in 19.50 ppf S-135 drill pipe</v>
      </c>
      <c r="C382" s="26" t="n">
        <f aca="false">Pipe_Tally!F382</f>
        <v>5</v>
      </c>
      <c r="D382" s="26" t="n">
        <f aca="false">Pipe_Tally!G382</f>
        <v>4.276</v>
      </c>
      <c r="E382" s="24" t="n">
        <f aca="false">Pipe_Tally!L382</f>
        <v>723.310000000003</v>
      </c>
      <c r="F382" s="24" t="n">
        <f aca="false">Pipe_Tally!M382</f>
        <v>754.760000000003</v>
      </c>
      <c r="G382" s="24" t="n">
        <f aca="false">MAX(0,MIN(F382,Well_Data!$B$10)-MAX(E382,Well_Data!$B$23))</f>
        <v>0</v>
      </c>
      <c r="H382" s="26" t="n">
        <f aca="false">G382*(Well_Data!$B$26^2-C382^2)/1029.4</f>
        <v>0</v>
      </c>
      <c r="I382" s="24" t="n">
        <f aca="false">MAX(0,MIN(F382,Well_Data!$B$23)-E382)</f>
        <v>31.45</v>
      </c>
      <c r="J382" s="26" t="n">
        <f aca="false">I382*(Well_Data!$B$25^2-C382^2)/1029.4</f>
        <v>1.53858022483971</v>
      </c>
      <c r="K382" s="25" t="n">
        <f aca="false">D382^2/1029.4</f>
        <v>0.0177619739654167</v>
      </c>
      <c r="L382" s="24" t="n">
        <f aca="false">F382-E382</f>
        <v>31.45</v>
      </c>
      <c r="M382" s="26" t="n">
        <f aca="false">K382*L382</f>
        <v>0.558614081212357</v>
      </c>
    </row>
    <row r="383" customFormat="false" ht="15" hidden="false" customHeight="true" outlineLevel="0" collapsed="false">
      <c r="A383" s="19" t="n">
        <f aca="false">Pipe_Tally!A383</f>
        <v>382</v>
      </c>
      <c r="B383" s="19" t="str">
        <f aca="false">Pipe_Tally!D383</f>
        <v>5in 19.50 ppf S-135 drill pipe</v>
      </c>
      <c r="C383" s="26" t="n">
        <f aca="false">Pipe_Tally!F383</f>
        <v>5</v>
      </c>
      <c r="D383" s="26" t="n">
        <f aca="false">Pipe_Tally!G383</f>
        <v>4.276</v>
      </c>
      <c r="E383" s="24" t="n">
        <f aca="false">Pipe_Tally!L383</f>
        <v>692.200000000003</v>
      </c>
      <c r="F383" s="24" t="n">
        <f aca="false">Pipe_Tally!M383</f>
        <v>723.310000000003</v>
      </c>
      <c r="G383" s="24" t="n">
        <f aca="false">MAX(0,MIN(F383,Well_Data!$B$10)-MAX(E383,Well_Data!$B$23))</f>
        <v>0</v>
      </c>
      <c r="H383" s="26" t="n">
        <f aca="false">G383*(Well_Data!$B$26^2-C383^2)/1029.4</f>
        <v>0</v>
      </c>
      <c r="I383" s="24" t="n">
        <f aca="false">MAX(0,MIN(F383,Well_Data!$B$23)-E383)</f>
        <v>31.11</v>
      </c>
      <c r="J383" s="26" t="n">
        <f aca="false">I383*(Well_Data!$B$25^2-C383^2)/1029.4</f>
        <v>1.52194692511172</v>
      </c>
      <c r="K383" s="25" t="n">
        <f aca="false">D383^2/1029.4</f>
        <v>0.0177619739654167</v>
      </c>
      <c r="L383" s="24" t="n">
        <f aca="false">F383-E383</f>
        <v>31.11</v>
      </c>
      <c r="M383" s="26" t="n">
        <f aca="false">K383*L383</f>
        <v>0.552575010064115</v>
      </c>
    </row>
    <row r="384" customFormat="false" ht="15" hidden="false" customHeight="true" outlineLevel="0" collapsed="false">
      <c r="A384" s="19" t="n">
        <f aca="false">Pipe_Tally!A384</f>
        <v>383</v>
      </c>
      <c r="B384" s="19" t="str">
        <f aca="false">Pipe_Tally!D384</f>
        <v>5in 19.50 ppf S-135 drill pipe</v>
      </c>
      <c r="C384" s="26" t="n">
        <f aca="false">Pipe_Tally!F384</f>
        <v>5</v>
      </c>
      <c r="D384" s="26" t="n">
        <f aca="false">Pipe_Tally!G384</f>
        <v>4.276</v>
      </c>
      <c r="E384" s="24" t="n">
        <f aca="false">Pipe_Tally!L384</f>
        <v>660.820000000003</v>
      </c>
      <c r="F384" s="24" t="n">
        <f aca="false">Pipe_Tally!M384</f>
        <v>692.200000000003</v>
      </c>
      <c r="G384" s="24" t="n">
        <f aca="false">MAX(0,MIN(F384,Well_Data!$B$10)-MAX(E384,Well_Data!$B$23))</f>
        <v>0</v>
      </c>
      <c r="H384" s="26" t="n">
        <f aca="false">G384*(Well_Data!$B$26^2-C384^2)/1029.4</f>
        <v>0</v>
      </c>
      <c r="I384" s="24" t="n">
        <f aca="false">MAX(0,MIN(F384,Well_Data!$B$23)-E384)</f>
        <v>31.38</v>
      </c>
      <c r="J384" s="26" t="n">
        <f aca="false">I384*(Well_Data!$B$25^2-C384^2)/1029.4</f>
        <v>1.53515572195454</v>
      </c>
      <c r="K384" s="25" t="n">
        <f aca="false">D384^2/1029.4</f>
        <v>0.0177619739654167</v>
      </c>
      <c r="L384" s="24" t="n">
        <f aca="false">F384-E384</f>
        <v>31.38</v>
      </c>
      <c r="M384" s="26" t="n">
        <f aca="false">K384*L384</f>
        <v>0.557370743034777</v>
      </c>
    </row>
    <row r="385" customFormat="false" ht="15" hidden="false" customHeight="true" outlineLevel="0" collapsed="false">
      <c r="A385" s="19" t="n">
        <f aca="false">Pipe_Tally!A385</f>
        <v>384</v>
      </c>
      <c r="B385" s="19" t="str">
        <f aca="false">Pipe_Tally!D385</f>
        <v>5in 19.50 ppf S-135 drill pipe</v>
      </c>
      <c r="C385" s="26" t="n">
        <f aca="false">Pipe_Tally!F385</f>
        <v>5</v>
      </c>
      <c r="D385" s="26" t="n">
        <f aca="false">Pipe_Tally!G385</f>
        <v>4.276</v>
      </c>
      <c r="E385" s="24" t="n">
        <f aca="false">Pipe_Tally!L385</f>
        <v>629.710000000003</v>
      </c>
      <c r="F385" s="24" t="n">
        <f aca="false">Pipe_Tally!M385</f>
        <v>660.820000000003</v>
      </c>
      <c r="G385" s="24" t="n">
        <f aca="false">MAX(0,MIN(F385,Well_Data!$B$10)-MAX(E385,Well_Data!$B$23))</f>
        <v>0</v>
      </c>
      <c r="H385" s="26" t="n">
        <f aca="false">G385*(Well_Data!$B$26^2-C385^2)/1029.4</f>
        <v>0</v>
      </c>
      <c r="I385" s="24" t="n">
        <f aca="false">MAX(0,MIN(F385,Well_Data!$B$23)-E385)</f>
        <v>31.11</v>
      </c>
      <c r="J385" s="26" t="n">
        <f aca="false">I385*(Well_Data!$B$25^2-C385^2)/1029.4</f>
        <v>1.52194692511172</v>
      </c>
      <c r="K385" s="25" t="n">
        <f aca="false">D385^2/1029.4</f>
        <v>0.0177619739654167</v>
      </c>
      <c r="L385" s="24" t="n">
        <f aca="false">F385-E385</f>
        <v>31.11</v>
      </c>
      <c r="M385" s="26" t="n">
        <f aca="false">K385*L385</f>
        <v>0.552575010064115</v>
      </c>
    </row>
    <row r="386" customFormat="false" ht="15" hidden="false" customHeight="true" outlineLevel="0" collapsed="false">
      <c r="A386" s="19" t="n">
        <f aca="false">Pipe_Tally!A386</f>
        <v>385</v>
      </c>
      <c r="B386" s="19" t="str">
        <f aca="false">Pipe_Tally!D386</f>
        <v>5in 19.50 ppf S-135 drill pipe</v>
      </c>
      <c r="C386" s="26" t="n">
        <f aca="false">Pipe_Tally!F386</f>
        <v>5</v>
      </c>
      <c r="D386" s="26" t="n">
        <f aca="false">Pipe_Tally!G386</f>
        <v>4.276</v>
      </c>
      <c r="E386" s="24" t="n">
        <f aca="false">Pipe_Tally!L386</f>
        <v>598.320000000003</v>
      </c>
      <c r="F386" s="24" t="n">
        <f aca="false">Pipe_Tally!M386</f>
        <v>629.710000000003</v>
      </c>
      <c r="G386" s="24" t="n">
        <f aca="false">MAX(0,MIN(F386,Well_Data!$B$10)-MAX(E386,Well_Data!$B$23))</f>
        <v>0</v>
      </c>
      <c r="H386" s="26" t="n">
        <f aca="false">G386*(Well_Data!$B$26^2-C386^2)/1029.4</f>
        <v>0</v>
      </c>
      <c r="I386" s="24" t="n">
        <f aca="false">MAX(0,MIN(F386,Well_Data!$B$23)-E386)</f>
        <v>31.39</v>
      </c>
      <c r="J386" s="26" t="n">
        <f aca="false">I386*(Well_Data!$B$25^2-C386^2)/1029.4</f>
        <v>1.53564493665242</v>
      </c>
      <c r="K386" s="25" t="n">
        <f aca="false">D386^2/1029.4</f>
        <v>0.0177619739654167</v>
      </c>
      <c r="L386" s="24" t="n">
        <f aca="false">F386-E386</f>
        <v>31.39</v>
      </c>
      <c r="M386" s="26" t="n">
        <f aca="false">K386*L386</f>
        <v>0.557548362774431</v>
      </c>
    </row>
    <row r="387" customFormat="false" ht="15" hidden="false" customHeight="true" outlineLevel="0" collapsed="false">
      <c r="A387" s="19" t="n">
        <f aca="false">Pipe_Tally!A387</f>
        <v>386</v>
      </c>
      <c r="B387" s="19" t="str">
        <f aca="false">Pipe_Tally!D387</f>
        <v>5in 19.50 ppf S-135 drill pipe</v>
      </c>
      <c r="C387" s="26" t="n">
        <f aca="false">Pipe_Tally!F387</f>
        <v>5</v>
      </c>
      <c r="D387" s="26" t="n">
        <f aca="false">Pipe_Tally!G387</f>
        <v>4.276</v>
      </c>
      <c r="E387" s="24" t="n">
        <f aca="false">Pipe_Tally!L387</f>
        <v>567.880000000003</v>
      </c>
      <c r="F387" s="24" t="n">
        <f aca="false">Pipe_Tally!M387</f>
        <v>598.320000000003</v>
      </c>
      <c r="G387" s="24" t="n">
        <f aca="false">MAX(0,MIN(F387,Well_Data!$B$10)-MAX(E387,Well_Data!$B$23))</f>
        <v>0</v>
      </c>
      <c r="H387" s="26" t="n">
        <f aca="false">G387*(Well_Data!$B$26^2-C387^2)/1029.4</f>
        <v>0</v>
      </c>
      <c r="I387" s="24" t="n">
        <f aca="false">MAX(0,MIN(F387,Well_Data!$B$23)-E387)</f>
        <v>30.4400000000001</v>
      </c>
      <c r="J387" s="26" t="n">
        <f aca="false">I387*(Well_Data!$B$25^2-C387^2)/1029.4</f>
        <v>1.48916954035361</v>
      </c>
      <c r="K387" s="25" t="n">
        <f aca="false">D387^2/1029.4</f>
        <v>0.0177619739654167</v>
      </c>
      <c r="L387" s="24" t="n">
        <f aca="false">F387-E387</f>
        <v>30.4400000000001</v>
      </c>
      <c r="M387" s="26" t="n">
        <f aca="false">K387*L387</f>
        <v>0.540674487507287</v>
      </c>
    </row>
    <row r="388" customFormat="false" ht="15" hidden="false" customHeight="true" outlineLevel="0" collapsed="false">
      <c r="A388" s="19" t="n">
        <f aca="false">Pipe_Tally!A388</f>
        <v>387</v>
      </c>
      <c r="B388" s="19" t="str">
        <f aca="false">Pipe_Tally!D388</f>
        <v>5in 19.50 ppf S-135 drill pipe</v>
      </c>
      <c r="C388" s="26" t="n">
        <f aca="false">Pipe_Tally!F388</f>
        <v>5</v>
      </c>
      <c r="D388" s="26" t="n">
        <f aca="false">Pipe_Tally!G388</f>
        <v>4.276</v>
      </c>
      <c r="E388" s="24" t="n">
        <f aca="false">Pipe_Tally!L388</f>
        <v>536.470000000003</v>
      </c>
      <c r="F388" s="24" t="n">
        <f aca="false">Pipe_Tally!M388</f>
        <v>567.880000000003</v>
      </c>
      <c r="G388" s="24" t="n">
        <f aca="false">MAX(0,MIN(F388,Well_Data!$B$10)-MAX(E388,Well_Data!$B$23))</f>
        <v>0</v>
      </c>
      <c r="H388" s="26" t="n">
        <f aca="false">G388*(Well_Data!$B$26^2-C388^2)/1029.4</f>
        <v>0</v>
      </c>
      <c r="I388" s="24" t="n">
        <f aca="false">MAX(0,MIN(F388,Well_Data!$B$23)-E388)</f>
        <v>31.41</v>
      </c>
      <c r="J388" s="26" t="n">
        <f aca="false">I388*(Well_Data!$B$25^2-C388^2)/1029.4</f>
        <v>1.53662336604818</v>
      </c>
      <c r="K388" s="25" t="n">
        <f aca="false">D388^2/1029.4</f>
        <v>0.0177619739654167</v>
      </c>
      <c r="L388" s="24" t="n">
        <f aca="false">F388-E388</f>
        <v>31.41</v>
      </c>
      <c r="M388" s="26" t="n">
        <f aca="false">K388*L388</f>
        <v>0.557903602253739</v>
      </c>
    </row>
    <row r="389" customFormat="false" ht="15" hidden="false" customHeight="true" outlineLevel="0" collapsed="false">
      <c r="A389" s="19" t="n">
        <f aca="false">Pipe_Tally!A389</f>
        <v>388</v>
      </c>
      <c r="B389" s="19" t="str">
        <f aca="false">Pipe_Tally!D389</f>
        <v>5in 19.50 ppf S-135 drill pipe</v>
      </c>
      <c r="C389" s="26" t="n">
        <f aca="false">Pipe_Tally!F389</f>
        <v>5</v>
      </c>
      <c r="D389" s="26" t="n">
        <f aca="false">Pipe_Tally!G389</f>
        <v>4.276</v>
      </c>
      <c r="E389" s="24" t="n">
        <f aca="false">Pipe_Tally!L389</f>
        <v>505.350000000002</v>
      </c>
      <c r="F389" s="24" t="n">
        <f aca="false">Pipe_Tally!M389</f>
        <v>536.470000000002</v>
      </c>
      <c r="G389" s="24" t="n">
        <f aca="false">MAX(0,MIN(F389,Well_Data!$B$10)-MAX(E389,Well_Data!$B$23))</f>
        <v>0</v>
      </c>
      <c r="H389" s="26" t="n">
        <f aca="false">G389*(Well_Data!$B$26^2-C389^2)/1029.4</f>
        <v>0</v>
      </c>
      <c r="I389" s="24" t="n">
        <f aca="false">MAX(0,MIN(F389,Well_Data!$B$23)-E389)</f>
        <v>31.12</v>
      </c>
      <c r="J389" s="26" t="n">
        <f aca="false">I389*(Well_Data!$B$25^2-C389^2)/1029.4</f>
        <v>1.5224361398096</v>
      </c>
      <c r="K389" s="25" t="n">
        <f aca="false">D389^2/1029.4</f>
        <v>0.0177619739654167</v>
      </c>
      <c r="L389" s="24" t="n">
        <f aca="false">F389-E389</f>
        <v>31.12</v>
      </c>
      <c r="M389" s="26" t="n">
        <f aca="false">K389*L389</f>
        <v>0.552752629803769</v>
      </c>
    </row>
    <row r="390" customFormat="false" ht="15" hidden="false" customHeight="true" outlineLevel="0" collapsed="false">
      <c r="A390" s="19" t="n">
        <f aca="false">Pipe_Tally!A390</f>
        <v>389</v>
      </c>
      <c r="B390" s="19" t="str">
        <f aca="false">Pipe_Tally!D390</f>
        <v>5in 19.50 ppf S-135 drill pipe</v>
      </c>
      <c r="C390" s="26" t="n">
        <f aca="false">Pipe_Tally!F390</f>
        <v>5</v>
      </c>
      <c r="D390" s="26" t="n">
        <f aca="false">Pipe_Tally!G390</f>
        <v>4.276</v>
      </c>
      <c r="E390" s="24" t="n">
        <f aca="false">Pipe_Tally!L390</f>
        <v>474.160000000002</v>
      </c>
      <c r="F390" s="24" t="n">
        <f aca="false">Pipe_Tally!M390</f>
        <v>505.350000000002</v>
      </c>
      <c r="G390" s="24" t="n">
        <f aca="false">MAX(0,MIN(F390,Well_Data!$B$10)-MAX(E390,Well_Data!$B$23))</f>
        <v>0</v>
      </c>
      <c r="H390" s="26" t="n">
        <f aca="false">G390*(Well_Data!$B$26^2-C390^2)/1029.4</f>
        <v>0</v>
      </c>
      <c r="I390" s="24" t="n">
        <f aca="false">MAX(0,MIN(F390,Well_Data!$B$23)-E390)</f>
        <v>31.19</v>
      </c>
      <c r="J390" s="26" t="n">
        <f aca="false">I390*(Well_Data!$B$25^2-C390^2)/1029.4</f>
        <v>1.52586064269477</v>
      </c>
      <c r="K390" s="25" t="n">
        <f aca="false">D390^2/1029.4</f>
        <v>0.0177619739654167</v>
      </c>
      <c r="L390" s="24" t="n">
        <f aca="false">F390-E390</f>
        <v>31.19</v>
      </c>
      <c r="M390" s="26" t="n">
        <f aca="false">K390*L390</f>
        <v>0.553995967981348</v>
      </c>
    </row>
    <row r="391" customFormat="false" ht="15" hidden="false" customHeight="true" outlineLevel="0" collapsed="false">
      <c r="A391" s="19" t="n">
        <f aca="false">Pipe_Tally!A391</f>
        <v>390</v>
      </c>
      <c r="B391" s="19" t="str">
        <f aca="false">Pipe_Tally!D391</f>
        <v>5in 19.50 ppf S-135 drill pipe</v>
      </c>
      <c r="C391" s="26" t="n">
        <f aca="false">Pipe_Tally!F391</f>
        <v>5</v>
      </c>
      <c r="D391" s="26" t="n">
        <f aca="false">Pipe_Tally!G391</f>
        <v>4.276</v>
      </c>
      <c r="E391" s="24" t="n">
        <f aca="false">Pipe_Tally!L391</f>
        <v>442.740000000002</v>
      </c>
      <c r="F391" s="24" t="n">
        <f aca="false">Pipe_Tally!M391</f>
        <v>474.160000000002</v>
      </c>
      <c r="G391" s="24" t="n">
        <f aca="false">MAX(0,MIN(F391,Well_Data!$B$10)-MAX(E391,Well_Data!$B$23))</f>
        <v>0</v>
      </c>
      <c r="H391" s="26" t="n">
        <f aca="false">G391*(Well_Data!$B$26^2-C391^2)/1029.4</f>
        <v>0</v>
      </c>
      <c r="I391" s="24" t="n">
        <f aca="false">MAX(0,MIN(F391,Well_Data!$B$23)-E391)</f>
        <v>31.42</v>
      </c>
      <c r="J391" s="26" t="n">
        <f aca="false">I391*(Well_Data!$B$25^2-C391^2)/1029.4</f>
        <v>1.53711258074607</v>
      </c>
      <c r="K391" s="25" t="n">
        <f aca="false">D391^2/1029.4</f>
        <v>0.0177619739654167</v>
      </c>
      <c r="L391" s="24" t="n">
        <f aca="false">F391-E391</f>
        <v>31.42</v>
      </c>
      <c r="M391" s="26" t="n">
        <f aca="false">K391*L391</f>
        <v>0.558081221993394</v>
      </c>
    </row>
    <row r="392" customFormat="false" ht="15" hidden="false" customHeight="true" outlineLevel="0" collapsed="false">
      <c r="A392" s="19" t="n">
        <f aca="false">Pipe_Tally!A392</f>
        <v>391</v>
      </c>
      <c r="B392" s="19" t="str">
        <f aca="false">Pipe_Tally!D392</f>
        <v>5in 19.50 ppf S-135 drill pipe</v>
      </c>
      <c r="C392" s="26" t="n">
        <f aca="false">Pipe_Tally!F392</f>
        <v>5</v>
      </c>
      <c r="D392" s="26" t="n">
        <f aca="false">Pipe_Tally!G392</f>
        <v>4.276</v>
      </c>
      <c r="E392" s="24" t="n">
        <f aca="false">Pipe_Tally!L392</f>
        <v>411.230000000001</v>
      </c>
      <c r="F392" s="24" t="n">
        <f aca="false">Pipe_Tally!M392</f>
        <v>442.740000000001</v>
      </c>
      <c r="G392" s="24" t="n">
        <f aca="false">MAX(0,MIN(F392,Well_Data!$B$10)-MAX(E392,Well_Data!$B$23))</f>
        <v>0</v>
      </c>
      <c r="H392" s="26" t="n">
        <f aca="false">G392*(Well_Data!$B$26^2-C392^2)/1029.4</f>
        <v>0</v>
      </c>
      <c r="I392" s="24" t="n">
        <f aca="false">MAX(0,MIN(F392,Well_Data!$B$23)-E392)</f>
        <v>31.51</v>
      </c>
      <c r="J392" s="26" t="n">
        <f aca="false">I392*(Well_Data!$B$25^2-C392^2)/1029.4</f>
        <v>1.54151551302701</v>
      </c>
      <c r="K392" s="25" t="n">
        <f aca="false">D392^2/1029.4</f>
        <v>0.0177619739654167</v>
      </c>
      <c r="L392" s="24" t="n">
        <f aca="false">F392-E392</f>
        <v>31.51</v>
      </c>
      <c r="M392" s="26" t="n">
        <f aca="false">K392*L392</f>
        <v>0.559679799650282</v>
      </c>
    </row>
    <row r="393" customFormat="false" ht="15" hidden="false" customHeight="true" outlineLevel="0" collapsed="false">
      <c r="A393" s="19" t="n">
        <f aca="false">Pipe_Tally!A393</f>
        <v>392</v>
      </c>
      <c r="B393" s="19" t="str">
        <f aca="false">Pipe_Tally!D393</f>
        <v>5in 19.50 ppf S-135 drill pipe</v>
      </c>
      <c r="C393" s="26" t="n">
        <f aca="false">Pipe_Tally!F393</f>
        <v>5</v>
      </c>
      <c r="D393" s="26" t="n">
        <f aca="false">Pipe_Tally!G393</f>
        <v>4.276</v>
      </c>
      <c r="E393" s="24" t="n">
        <f aca="false">Pipe_Tally!L393</f>
        <v>380.130000000001</v>
      </c>
      <c r="F393" s="24" t="n">
        <f aca="false">Pipe_Tally!M393</f>
        <v>411.230000000001</v>
      </c>
      <c r="G393" s="24" t="n">
        <f aca="false">MAX(0,MIN(F393,Well_Data!$B$10)-MAX(E393,Well_Data!$B$23))</f>
        <v>0</v>
      </c>
      <c r="H393" s="26" t="n">
        <f aca="false">G393*(Well_Data!$B$26^2-C393^2)/1029.4</f>
        <v>0</v>
      </c>
      <c r="I393" s="24" t="n">
        <f aca="false">MAX(0,MIN(F393,Well_Data!$B$23)-E393)</f>
        <v>31.1</v>
      </c>
      <c r="J393" s="26" t="n">
        <f aca="false">I393*(Well_Data!$B$25^2-C393^2)/1029.4</f>
        <v>1.52145771041383</v>
      </c>
      <c r="K393" s="25" t="n">
        <f aca="false">D393^2/1029.4</f>
        <v>0.0177619739654167</v>
      </c>
      <c r="L393" s="24" t="n">
        <f aca="false">F393-E393</f>
        <v>31.1</v>
      </c>
      <c r="M393" s="26" t="n">
        <f aca="false">K393*L393</f>
        <v>0.552397390324461</v>
      </c>
    </row>
    <row r="394" customFormat="false" ht="15" hidden="false" customHeight="true" outlineLevel="0" collapsed="false">
      <c r="A394" s="19" t="n">
        <f aca="false">Pipe_Tally!A394</f>
        <v>393</v>
      </c>
      <c r="B394" s="19" t="str">
        <f aca="false">Pipe_Tally!D394</f>
        <v>5in 19.50 ppf S-135 drill pipe</v>
      </c>
      <c r="C394" s="26" t="n">
        <f aca="false">Pipe_Tally!F394</f>
        <v>5</v>
      </c>
      <c r="D394" s="26" t="n">
        <f aca="false">Pipe_Tally!G394</f>
        <v>4.276</v>
      </c>
      <c r="E394" s="24" t="n">
        <f aca="false">Pipe_Tally!L394</f>
        <v>349.130000000001</v>
      </c>
      <c r="F394" s="24" t="n">
        <f aca="false">Pipe_Tally!M394</f>
        <v>380.130000000001</v>
      </c>
      <c r="G394" s="24" t="n">
        <f aca="false">MAX(0,MIN(F394,Well_Data!$B$10)-MAX(E394,Well_Data!$B$23))</f>
        <v>0</v>
      </c>
      <c r="H394" s="26" t="n">
        <f aca="false">G394*(Well_Data!$B$26^2-C394^2)/1029.4</f>
        <v>0</v>
      </c>
      <c r="I394" s="24" t="n">
        <f aca="false">MAX(0,MIN(F394,Well_Data!$B$23)-E394)</f>
        <v>31</v>
      </c>
      <c r="J394" s="26" t="n">
        <f aca="false">I394*(Well_Data!$B$25^2-C394^2)/1029.4</f>
        <v>1.51656556343501</v>
      </c>
      <c r="K394" s="25" t="n">
        <f aca="false">D394^2/1029.4</f>
        <v>0.0177619739654167</v>
      </c>
      <c r="L394" s="24" t="n">
        <f aca="false">F394-E394</f>
        <v>31</v>
      </c>
      <c r="M394" s="26" t="n">
        <f aca="false">K394*L394</f>
        <v>0.550621192927919</v>
      </c>
    </row>
    <row r="395" customFormat="false" ht="15" hidden="false" customHeight="true" outlineLevel="0" collapsed="false">
      <c r="A395" s="19" t="n">
        <f aca="false">Pipe_Tally!A395</f>
        <v>394</v>
      </c>
      <c r="B395" s="19" t="str">
        <f aca="false">Pipe_Tally!D395</f>
        <v>5in 19.50 ppf S-135 drill pipe</v>
      </c>
      <c r="C395" s="26" t="n">
        <f aca="false">Pipe_Tally!F395</f>
        <v>5</v>
      </c>
      <c r="D395" s="26" t="n">
        <f aca="false">Pipe_Tally!G395</f>
        <v>4.276</v>
      </c>
      <c r="E395" s="24" t="n">
        <f aca="false">Pipe_Tally!L395</f>
        <v>317.810000000001</v>
      </c>
      <c r="F395" s="24" t="n">
        <f aca="false">Pipe_Tally!M395</f>
        <v>349.130000000001</v>
      </c>
      <c r="G395" s="24" t="n">
        <f aca="false">MAX(0,MIN(F395,Well_Data!$B$10)-MAX(E395,Well_Data!$B$23))</f>
        <v>0</v>
      </c>
      <c r="H395" s="26" t="n">
        <f aca="false">G395*(Well_Data!$B$26^2-C395^2)/1029.4</f>
        <v>0</v>
      </c>
      <c r="I395" s="24" t="n">
        <f aca="false">MAX(0,MIN(F395,Well_Data!$B$23)-E395)</f>
        <v>31.32</v>
      </c>
      <c r="J395" s="26" t="n">
        <f aca="false">I395*(Well_Data!$B$25^2-C395^2)/1029.4</f>
        <v>1.53222043376724</v>
      </c>
      <c r="K395" s="25" t="n">
        <f aca="false">D395^2/1029.4</f>
        <v>0.0177619739654167</v>
      </c>
      <c r="L395" s="24" t="n">
        <f aca="false">F395-E395</f>
        <v>31.32</v>
      </c>
      <c r="M395" s="26" t="n">
        <f aca="false">K395*L395</f>
        <v>0.556305024596852</v>
      </c>
    </row>
    <row r="396" customFormat="false" ht="15" hidden="false" customHeight="true" outlineLevel="0" collapsed="false">
      <c r="A396" s="19" t="n">
        <f aca="false">Pipe_Tally!A396</f>
        <v>395</v>
      </c>
      <c r="B396" s="19" t="str">
        <f aca="false">Pipe_Tally!D396</f>
        <v>5in 19.50 ppf S-135 drill pipe</v>
      </c>
      <c r="C396" s="26" t="n">
        <f aca="false">Pipe_Tally!F396</f>
        <v>5</v>
      </c>
      <c r="D396" s="26" t="n">
        <f aca="false">Pipe_Tally!G396</f>
        <v>4.276</v>
      </c>
      <c r="E396" s="24" t="n">
        <f aca="false">Pipe_Tally!L396</f>
        <v>286.720000000001</v>
      </c>
      <c r="F396" s="24" t="n">
        <f aca="false">Pipe_Tally!M396</f>
        <v>317.810000000001</v>
      </c>
      <c r="G396" s="24" t="n">
        <f aca="false">MAX(0,MIN(F396,Well_Data!$B$10)-MAX(E396,Well_Data!$B$23))</f>
        <v>0</v>
      </c>
      <c r="H396" s="26" t="n">
        <f aca="false">G396*(Well_Data!$B$26^2-C396^2)/1029.4</f>
        <v>0</v>
      </c>
      <c r="I396" s="24" t="n">
        <f aca="false">MAX(0,MIN(F396,Well_Data!$B$23)-E396)</f>
        <v>31.09</v>
      </c>
      <c r="J396" s="26" t="n">
        <f aca="false">I396*(Well_Data!$B$25^2-C396^2)/1029.4</f>
        <v>1.52096849571595</v>
      </c>
      <c r="K396" s="25" t="n">
        <f aca="false">D396^2/1029.4</f>
        <v>0.0177619739654167</v>
      </c>
      <c r="L396" s="24" t="n">
        <f aca="false">F396-E396</f>
        <v>31.09</v>
      </c>
      <c r="M396" s="26" t="n">
        <f aca="false">K396*L396</f>
        <v>0.552219770584806</v>
      </c>
    </row>
    <row r="397" customFormat="false" ht="15" hidden="false" customHeight="true" outlineLevel="0" collapsed="false">
      <c r="A397" s="19" t="n">
        <f aca="false">Pipe_Tally!A397</f>
        <v>396</v>
      </c>
      <c r="B397" s="19" t="str">
        <f aca="false">Pipe_Tally!D397</f>
        <v>5in 19.50 ppf S-135 drill pipe</v>
      </c>
      <c r="C397" s="26" t="n">
        <f aca="false">Pipe_Tally!F397</f>
        <v>5</v>
      </c>
      <c r="D397" s="26" t="n">
        <f aca="false">Pipe_Tally!G397</f>
        <v>4.276</v>
      </c>
      <c r="E397" s="24" t="n">
        <f aca="false">Pipe_Tally!L397</f>
        <v>255.250000000002</v>
      </c>
      <c r="F397" s="24" t="n">
        <f aca="false">Pipe_Tally!M397</f>
        <v>286.720000000002</v>
      </c>
      <c r="G397" s="24" t="n">
        <f aca="false">MAX(0,MIN(F397,Well_Data!$B$10)-MAX(E397,Well_Data!$B$23))</f>
        <v>0</v>
      </c>
      <c r="H397" s="26" t="n">
        <f aca="false">G397*(Well_Data!$B$26^2-C397^2)/1029.4</f>
        <v>0</v>
      </c>
      <c r="I397" s="24" t="n">
        <f aca="false">MAX(0,MIN(F397,Well_Data!$B$23)-E397)</f>
        <v>31.47</v>
      </c>
      <c r="J397" s="26" t="n">
        <f aca="false">I397*(Well_Data!$B$25^2-C397^2)/1029.4</f>
        <v>1.53955865423548</v>
      </c>
      <c r="K397" s="25" t="n">
        <f aca="false">D397^2/1029.4</f>
        <v>0.0177619739654167</v>
      </c>
      <c r="L397" s="24" t="n">
        <f aca="false">F397-E397</f>
        <v>31.47</v>
      </c>
      <c r="M397" s="26" t="n">
        <f aca="false">K397*L397</f>
        <v>0.558969320691665</v>
      </c>
    </row>
    <row r="398" customFormat="false" ht="15" hidden="false" customHeight="true" outlineLevel="0" collapsed="false">
      <c r="A398" s="19" t="n">
        <f aca="false">Pipe_Tally!A398</f>
        <v>397</v>
      </c>
      <c r="B398" s="19" t="str">
        <f aca="false">Pipe_Tally!D398</f>
        <v>5in 19.50 ppf S-135 drill pipe</v>
      </c>
      <c r="C398" s="26" t="n">
        <f aca="false">Pipe_Tally!F398</f>
        <v>5</v>
      </c>
      <c r="D398" s="26" t="n">
        <f aca="false">Pipe_Tally!G398</f>
        <v>4.276</v>
      </c>
      <c r="E398" s="24" t="n">
        <f aca="false">Pipe_Tally!L398</f>
        <v>223.950000000003</v>
      </c>
      <c r="F398" s="24" t="n">
        <f aca="false">Pipe_Tally!M398</f>
        <v>255.250000000003</v>
      </c>
      <c r="G398" s="24" t="n">
        <f aca="false">MAX(0,MIN(F398,Well_Data!$B$10)-MAX(E398,Well_Data!$B$23))</f>
        <v>0</v>
      </c>
      <c r="H398" s="26" t="n">
        <f aca="false">G398*(Well_Data!$B$26^2-C398^2)/1029.4</f>
        <v>0</v>
      </c>
      <c r="I398" s="24" t="n">
        <f aca="false">MAX(0,MIN(F398,Well_Data!$B$23)-E398)</f>
        <v>31.3</v>
      </c>
      <c r="J398" s="26" t="n">
        <f aca="false">I398*(Well_Data!$B$25^2-C398^2)/1029.4</f>
        <v>1.53124200437148</v>
      </c>
      <c r="K398" s="25" t="n">
        <f aca="false">D398^2/1029.4</f>
        <v>0.0177619739654167</v>
      </c>
      <c r="L398" s="24" t="n">
        <f aca="false">F398-E398</f>
        <v>31.3</v>
      </c>
      <c r="M398" s="26" t="n">
        <f aca="false">K398*L398</f>
        <v>0.555949785117544</v>
      </c>
    </row>
    <row r="399" customFormat="false" ht="15" hidden="false" customHeight="true" outlineLevel="0" collapsed="false">
      <c r="A399" s="19" t="n">
        <f aca="false">Pipe_Tally!A399</f>
        <v>398</v>
      </c>
      <c r="B399" s="19" t="str">
        <f aca="false">Pipe_Tally!D399</f>
        <v>5in 19.50 ppf S-135 drill pipe</v>
      </c>
      <c r="C399" s="26" t="n">
        <f aca="false">Pipe_Tally!F399</f>
        <v>5</v>
      </c>
      <c r="D399" s="26" t="n">
        <f aca="false">Pipe_Tally!G399</f>
        <v>4.276</v>
      </c>
      <c r="E399" s="24" t="n">
        <f aca="false">Pipe_Tally!L399</f>
        <v>192.860000000002</v>
      </c>
      <c r="F399" s="24" t="n">
        <f aca="false">Pipe_Tally!M399</f>
        <v>223.950000000002</v>
      </c>
      <c r="G399" s="24" t="n">
        <f aca="false">MAX(0,MIN(F399,Well_Data!$B$10)-MAX(E399,Well_Data!$B$23))</f>
        <v>0</v>
      </c>
      <c r="H399" s="26" t="n">
        <f aca="false">G399*(Well_Data!$B$26^2-C399^2)/1029.4</f>
        <v>0</v>
      </c>
      <c r="I399" s="24" t="n">
        <f aca="false">MAX(0,MIN(F399,Well_Data!$B$23)-E399)</f>
        <v>31.09</v>
      </c>
      <c r="J399" s="26" t="n">
        <f aca="false">I399*(Well_Data!$B$25^2-C399^2)/1029.4</f>
        <v>1.52096849571595</v>
      </c>
      <c r="K399" s="25" t="n">
        <f aca="false">D399^2/1029.4</f>
        <v>0.0177619739654167</v>
      </c>
      <c r="L399" s="24" t="n">
        <f aca="false">F399-E399</f>
        <v>31.09</v>
      </c>
      <c r="M399" s="26" t="n">
        <f aca="false">K399*L399</f>
        <v>0.552219770584807</v>
      </c>
    </row>
    <row r="400" customFormat="false" ht="15" hidden="false" customHeight="true" outlineLevel="0" collapsed="false">
      <c r="A400" s="19" t="n">
        <f aca="false">Pipe_Tally!A400</f>
        <v>399</v>
      </c>
      <c r="B400" s="19" t="str">
        <f aca="false">Pipe_Tally!D400</f>
        <v>5in 19.50 ppf S-135 drill pipe</v>
      </c>
      <c r="C400" s="26" t="n">
        <f aca="false">Pipe_Tally!F400</f>
        <v>5</v>
      </c>
      <c r="D400" s="26" t="n">
        <f aca="false">Pipe_Tally!G400</f>
        <v>4.276</v>
      </c>
      <c r="E400" s="24" t="n">
        <f aca="false">Pipe_Tally!L400</f>
        <v>161.420000000002</v>
      </c>
      <c r="F400" s="24" t="n">
        <f aca="false">Pipe_Tally!M400</f>
        <v>192.860000000002</v>
      </c>
      <c r="G400" s="24" t="n">
        <f aca="false">MAX(0,MIN(F400,Well_Data!$B$10)-MAX(E400,Well_Data!$B$23))</f>
        <v>0</v>
      </c>
      <c r="H400" s="26" t="n">
        <f aca="false">G400*(Well_Data!$B$26^2-C400^2)/1029.4</f>
        <v>0</v>
      </c>
      <c r="I400" s="24" t="n">
        <f aca="false">MAX(0,MIN(F400,Well_Data!$B$23)-E400)</f>
        <v>31.44</v>
      </c>
      <c r="J400" s="26" t="n">
        <f aca="false">I400*(Well_Data!$B$25^2-C400^2)/1029.4</f>
        <v>1.53809101014183</v>
      </c>
      <c r="K400" s="25" t="n">
        <f aca="false">D400^2/1029.4</f>
        <v>0.0177619739654167</v>
      </c>
      <c r="L400" s="24" t="n">
        <f aca="false">F400-E400</f>
        <v>31.44</v>
      </c>
      <c r="M400" s="26" t="n">
        <f aca="false">K400*L400</f>
        <v>0.558436461472702</v>
      </c>
    </row>
    <row r="401" customFormat="false" ht="15" hidden="false" customHeight="true" outlineLevel="0" collapsed="false">
      <c r="A401" s="19" t="n">
        <f aca="false">Pipe_Tally!A401</f>
        <v>400</v>
      </c>
      <c r="B401" s="19" t="str">
        <f aca="false">Pipe_Tally!D401</f>
        <v>5in 19.50 ppf S-135 drill pipe</v>
      </c>
      <c r="C401" s="26" t="n">
        <f aca="false">Pipe_Tally!F401</f>
        <v>5</v>
      </c>
      <c r="D401" s="26" t="n">
        <f aca="false">Pipe_Tally!G401</f>
        <v>4.276</v>
      </c>
      <c r="E401" s="24" t="n">
        <f aca="false">Pipe_Tally!L401</f>
        <v>129.900000000001</v>
      </c>
      <c r="F401" s="24" t="n">
        <f aca="false">Pipe_Tally!M401</f>
        <v>161.420000000001</v>
      </c>
      <c r="G401" s="24" t="n">
        <f aca="false">MAX(0,MIN(F401,Well_Data!$B$10)-MAX(E401,Well_Data!$B$23))</f>
        <v>0</v>
      </c>
      <c r="H401" s="26" t="n">
        <f aca="false">G401*(Well_Data!$B$26^2-C401^2)/1029.4</f>
        <v>0</v>
      </c>
      <c r="I401" s="24" t="n">
        <f aca="false">MAX(0,MIN(F401,Well_Data!$B$23)-E401)</f>
        <v>31.52</v>
      </c>
      <c r="J401" s="26" t="n">
        <f aca="false">I401*(Well_Data!$B$25^2-C401^2)/1029.4</f>
        <v>1.54200472772489</v>
      </c>
      <c r="K401" s="25" t="n">
        <f aca="false">D401^2/1029.4</f>
        <v>0.0177619739654167</v>
      </c>
      <c r="L401" s="24" t="n">
        <f aca="false">F401-E401</f>
        <v>31.52</v>
      </c>
      <c r="M401" s="26" t="n">
        <f aca="false">K401*L401</f>
        <v>0.559857419389936</v>
      </c>
    </row>
    <row r="402" customFormat="false" ht="15" hidden="false" customHeight="true" outlineLevel="0" collapsed="false">
      <c r="A402" s="19" t="n">
        <f aca="false">Pipe_Tally!A402</f>
        <v>401</v>
      </c>
      <c r="B402" s="19" t="str">
        <f aca="false">Pipe_Tally!D402</f>
        <v>5in 19.50 ppf S-135 drill pipe</v>
      </c>
      <c r="C402" s="26" t="n">
        <f aca="false">Pipe_Tally!F402</f>
        <v>5</v>
      </c>
      <c r="D402" s="26" t="n">
        <f aca="false">Pipe_Tally!G402</f>
        <v>4.276</v>
      </c>
      <c r="E402" s="24" t="n">
        <f aca="false">Pipe_Tally!L402</f>
        <v>98.6000000000022</v>
      </c>
      <c r="F402" s="24" t="n">
        <f aca="false">Pipe_Tally!M402</f>
        <v>129.900000000002</v>
      </c>
      <c r="G402" s="24" t="n">
        <f aca="false">MAX(0,MIN(F402,Well_Data!$B$10)-MAX(E402,Well_Data!$B$23))</f>
        <v>0</v>
      </c>
      <c r="H402" s="26" t="n">
        <f aca="false">G402*(Well_Data!$B$26^2-C402^2)/1029.4</f>
        <v>0</v>
      </c>
      <c r="I402" s="24" t="n">
        <f aca="false">MAX(0,MIN(F402,Well_Data!$B$23)-E402)</f>
        <v>31.3</v>
      </c>
      <c r="J402" s="26" t="n">
        <f aca="false">I402*(Well_Data!$B$25^2-C402^2)/1029.4</f>
        <v>1.53124200437148</v>
      </c>
      <c r="K402" s="25" t="n">
        <f aca="false">D402^2/1029.4</f>
        <v>0.0177619739654167</v>
      </c>
      <c r="L402" s="24" t="n">
        <f aca="false">F402-E402</f>
        <v>31.3</v>
      </c>
      <c r="M402" s="26" t="n">
        <f aca="false">K402*L402</f>
        <v>0.555949785117544</v>
      </c>
    </row>
    <row r="403" customFormat="false" ht="15" hidden="false" customHeight="true" outlineLevel="0" collapsed="false">
      <c r="A403" s="19" t="n">
        <f aca="false">Pipe_Tally!A403</f>
        <v>402</v>
      </c>
      <c r="B403" s="19" t="str">
        <f aca="false">Pipe_Tally!D403</f>
        <v>5in 19.50 ppf S-135 drill pipe</v>
      </c>
      <c r="C403" s="26" t="n">
        <f aca="false">Pipe_Tally!F403</f>
        <v>5</v>
      </c>
      <c r="D403" s="26" t="n">
        <f aca="false">Pipe_Tally!G403</f>
        <v>4.276</v>
      </c>
      <c r="E403" s="24" t="n">
        <f aca="false">Pipe_Tally!L403</f>
        <v>67.2400000000016</v>
      </c>
      <c r="F403" s="24" t="n">
        <f aca="false">Pipe_Tally!M403</f>
        <v>98.6000000000016</v>
      </c>
      <c r="G403" s="24" t="n">
        <f aca="false">MAX(0,MIN(F403,Well_Data!$B$10)-MAX(E403,Well_Data!$B$23))</f>
        <v>0</v>
      </c>
      <c r="H403" s="26" t="n">
        <f aca="false">G403*(Well_Data!$B$26^2-C403^2)/1029.4</f>
        <v>0</v>
      </c>
      <c r="I403" s="24" t="n">
        <f aca="false">MAX(0,MIN(F403,Well_Data!$B$23)-E403)</f>
        <v>31.36</v>
      </c>
      <c r="J403" s="26" t="n">
        <f aca="false">I403*(Well_Data!$B$25^2-C403^2)/1029.4</f>
        <v>1.53417729255877</v>
      </c>
      <c r="K403" s="25" t="n">
        <f aca="false">D403^2/1029.4</f>
        <v>0.0177619739654167</v>
      </c>
      <c r="L403" s="24" t="n">
        <f aca="false">F403-E403</f>
        <v>31.36</v>
      </c>
      <c r="M403" s="26" t="n">
        <f aca="false">K403*L403</f>
        <v>0.557015503555469</v>
      </c>
    </row>
    <row r="404" customFormat="false" ht="15" hidden="false" customHeight="true" outlineLevel="0" collapsed="false">
      <c r="A404" s="19" t="n">
        <f aca="false">Pipe_Tally!A404</f>
        <v>403</v>
      </c>
      <c r="B404" s="19" t="str">
        <f aca="false">Pipe_Tally!D404</f>
        <v>5in 19.50 ppf S-135 drill pipe</v>
      </c>
      <c r="C404" s="26" t="n">
        <f aca="false">Pipe_Tally!F404</f>
        <v>5</v>
      </c>
      <c r="D404" s="26" t="n">
        <f aca="false">Pipe_Tally!G404</f>
        <v>4.276</v>
      </c>
      <c r="E404" s="24" t="n">
        <f aca="false">Pipe_Tally!L404</f>
        <v>36.0600000000013</v>
      </c>
      <c r="F404" s="24" t="n">
        <f aca="false">Pipe_Tally!M404</f>
        <v>67.2400000000013</v>
      </c>
      <c r="G404" s="24" t="n">
        <f aca="false">MAX(0,MIN(F404,Well_Data!$B$10)-MAX(E404,Well_Data!$B$23))</f>
        <v>0</v>
      </c>
      <c r="H404" s="26" t="n">
        <f aca="false">G404*(Well_Data!$B$26^2-C404^2)/1029.4</f>
        <v>0</v>
      </c>
      <c r="I404" s="24" t="n">
        <f aca="false">MAX(0,MIN(F404,Well_Data!$B$23)-E404)</f>
        <v>31.18</v>
      </c>
      <c r="J404" s="26" t="n">
        <f aca="false">I404*(Well_Data!$B$25^2-C404^2)/1029.4</f>
        <v>1.52537142799689</v>
      </c>
      <c r="K404" s="25" t="n">
        <f aca="false">D404^2/1029.4</f>
        <v>0.0177619739654167</v>
      </c>
      <c r="L404" s="24" t="n">
        <f aca="false">F404-E404</f>
        <v>31.18</v>
      </c>
      <c r="M404" s="26" t="n">
        <f aca="false">K404*L404</f>
        <v>0.553818348241694</v>
      </c>
    </row>
    <row r="405" customFormat="false" ht="15" hidden="false" customHeight="true" outlineLevel="0" collapsed="false">
      <c r="A405" s="19" t="n">
        <f aca="false">Pipe_Tally!A405</f>
        <v>404</v>
      </c>
      <c r="B405" s="19" t="str">
        <f aca="false">Pipe_Tally!D405</f>
        <v>5in 19.50 ppf S-135 drill pipe</v>
      </c>
      <c r="C405" s="26" t="n">
        <f aca="false">Pipe_Tally!F405</f>
        <v>5</v>
      </c>
      <c r="D405" s="26" t="n">
        <f aca="false">Pipe_Tally!G405</f>
        <v>4.276</v>
      </c>
      <c r="E405" s="24" t="n">
        <f aca="false">Pipe_Tally!L405</f>
        <v>5.07000000000153</v>
      </c>
      <c r="F405" s="24" t="n">
        <f aca="false">Pipe_Tally!M405</f>
        <v>36.0600000000015</v>
      </c>
      <c r="G405" s="24" t="n">
        <f aca="false">MAX(0,MIN(F405,Well_Data!$B$10)-MAX(E405,Well_Data!$B$23))</f>
        <v>0</v>
      </c>
      <c r="H405" s="26" t="n">
        <f aca="false">G405*(Well_Data!$B$26^2-C405^2)/1029.4</f>
        <v>0</v>
      </c>
      <c r="I405" s="24" t="n">
        <f aca="false">MAX(0,MIN(F405,Well_Data!$B$23)-E405)</f>
        <v>30.99</v>
      </c>
      <c r="J405" s="26" t="n">
        <f aca="false">I405*(Well_Data!$B$25^2-C405^2)/1029.4</f>
        <v>1.51607634873713</v>
      </c>
      <c r="K405" s="25" t="n">
        <f aca="false">D405^2/1029.4</f>
        <v>0.0177619739654167</v>
      </c>
      <c r="L405" s="24" t="n">
        <f aca="false">F405-E405</f>
        <v>30.99</v>
      </c>
      <c r="M405" s="26" t="n">
        <f aca="false">K405*L405</f>
        <v>0.550443573188265</v>
      </c>
    </row>
    <row r="406" customFormat="false" ht="15" hidden="false" customHeight="true" outlineLevel="0" collapsed="false">
      <c r="A406" s="19" t="n">
        <f aca="false">Pipe_Tally!A406</f>
        <v>405</v>
      </c>
      <c r="B406" s="19" t="str">
        <f aca="false">Pipe_Tally!D406</f>
        <v>5in drill pipe pup joint (5.07 ft)</v>
      </c>
      <c r="C406" s="26" t="n">
        <f aca="false">Pipe_Tally!F406</f>
        <v>5</v>
      </c>
      <c r="D406" s="26" t="n">
        <f aca="false">Pipe_Tally!G406</f>
        <v>4.276</v>
      </c>
      <c r="E406" s="24" t="n">
        <f aca="false">Pipe_Tally!L406</f>
        <v>0</v>
      </c>
      <c r="F406" s="24" t="n">
        <f aca="false">Pipe_Tally!M406</f>
        <v>5.07</v>
      </c>
      <c r="G406" s="24" t="n">
        <f aca="false">MAX(0,MIN(F406,Well_Data!$B$10)-MAX(E406,Well_Data!$B$23))</f>
        <v>0</v>
      </c>
      <c r="H406" s="26" t="n">
        <f aca="false">G406*(Well_Data!$B$26^2-C406^2)/1029.4</f>
        <v>0</v>
      </c>
      <c r="I406" s="24" t="n">
        <f aca="false">MAX(0,MIN(F406,Well_Data!$B$23)-E406)</f>
        <v>5.07</v>
      </c>
      <c r="J406" s="26" t="n">
        <f aca="false">I406*(Well_Data!$B$25^2-C406^2)/1029.4</f>
        <v>0.248031851826307</v>
      </c>
      <c r="K406" s="25" t="n">
        <f aca="false">D406^2/1029.4</f>
        <v>0.0177619739654167</v>
      </c>
      <c r="L406" s="24" t="n">
        <f aca="false">F406-E406</f>
        <v>5.07</v>
      </c>
      <c r="M406" s="26" t="n">
        <f aca="false">K406*L406</f>
        <v>0.0900532080046629</v>
      </c>
    </row>
    <row r="407" customFormat="false" ht="15" hidden="false" customHeight="true" outlineLevel="0" collapsed="false">
      <c r="B407" s="27" t="s">
        <v>183</v>
      </c>
      <c r="H407" s="28" t="n">
        <f aca="false">SUM(H2:H406)</f>
        <v>187.306959758111</v>
      </c>
      <c r="J407" s="28" t="n">
        <f aca="false">SUM(J2:J406)</f>
        <v>401.156052263454</v>
      </c>
      <c r="M407" s="28" t="n">
        <f aca="false">SUM(M2:M406)</f>
        <v>211.354611618924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8"/>
  </cols>
  <sheetData>
    <row r="1" customFormat="false" ht="17.25" hidden="false" customHeight="true" outlineLevel="0" collapsed="false">
      <c r="A1" s="2" t="s">
        <v>204</v>
      </c>
    </row>
    <row r="3" customFormat="false" ht="15" hidden="false" customHeight="true" outlineLevel="0" collapsed="false">
      <c r="A3" s="29"/>
    </row>
    <row r="4" customFormat="false" ht="15" hidden="false" customHeight="true" outlineLevel="0" collapsed="false">
      <c r="A4" s="30" t="s">
        <v>205</v>
      </c>
    </row>
    <row r="5" customFormat="false" ht="23.25" hidden="false" customHeight="true" outlineLevel="0" collapsed="false">
      <c r="A5" s="29" t="s">
        <v>206</v>
      </c>
    </row>
    <row r="6" customFormat="false" ht="15" hidden="false" customHeight="true" outlineLevel="0" collapsed="false">
      <c r="A6" s="29"/>
    </row>
    <row r="7" customFormat="false" ht="15" hidden="false" customHeight="true" outlineLevel="0" collapsed="false">
      <c r="A7" s="30" t="s">
        <v>207</v>
      </c>
    </row>
    <row r="8" customFormat="false" ht="23.25" hidden="false" customHeight="true" outlineLevel="0" collapsed="false">
      <c r="A8" s="29" t="s">
        <v>208</v>
      </c>
    </row>
    <row r="9" customFormat="false" ht="15" hidden="false" customHeight="true" outlineLevel="0" collapsed="false">
      <c r="A9" s="29"/>
    </row>
    <row r="10" customFormat="false" ht="15" hidden="false" customHeight="true" outlineLevel="0" collapsed="false">
      <c r="A10" s="30" t="s">
        <v>209</v>
      </c>
    </row>
    <row r="11" customFormat="false" ht="23.25" hidden="false" customHeight="true" outlineLevel="0" collapsed="false">
      <c r="A11" s="29" t="s">
        <v>210</v>
      </c>
    </row>
    <row r="12" customFormat="false" ht="15" hidden="false" customHeight="true" outlineLevel="0" collapsed="false">
      <c r="A12" s="29"/>
    </row>
    <row r="13" customFormat="false" ht="15" hidden="false" customHeight="true" outlineLevel="0" collapsed="false">
      <c r="A13" s="30" t="s">
        <v>211</v>
      </c>
    </row>
    <row r="14" customFormat="false" ht="34.5" hidden="false" customHeight="true" outlineLevel="0" collapsed="false">
      <c r="A14" s="29" t="s">
        <v>212</v>
      </c>
    </row>
    <row r="15" customFormat="false" ht="15" hidden="false" customHeight="true" outlineLevel="0" collapsed="false">
      <c r="A15" s="29"/>
    </row>
    <row r="16" customFormat="false" ht="15" hidden="false" customHeight="true" outlineLevel="0" collapsed="false">
      <c r="A16" s="30" t="s">
        <v>213</v>
      </c>
    </row>
    <row r="17" customFormat="false" ht="34.5" hidden="false" customHeight="true" outlineLevel="0" collapsed="false">
      <c r="A17" s="29" t="s">
        <v>214</v>
      </c>
    </row>
    <row r="18" customFormat="false" ht="15" hidden="false" customHeight="true" outlineLevel="0" collapsed="false">
      <c r="A18" s="29"/>
    </row>
    <row r="19" customFormat="false" ht="15" hidden="false" customHeight="true" outlineLevel="0" collapsed="false">
      <c r="A19" s="30" t="s">
        <v>215</v>
      </c>
    </row>
    <row r="20" customFormat="false" ht="34.5" hidden="false" customHeight="true" outlineLevel="0" collapsed="false">
      <c r="A20" s="29" t="s">
        <v>216</v>
      </c>
    </row>
    <row r="21" customFormat="false" ht="15" hidden="false" customHeight="true" outlineLevel="0" collapsed="false">
      <c r="A21" s="29"/>
    </row>
    <row r="22" customFormat="false" ht="15" hidden="false" customHeight="true" outlineLevel="0" collapsed="false">
      <c r="A22" s="30" t="s">
        <v>217</v>
      </c>
    </row>
    <row r="23" customFormat="false" ht="15" hidden="false" customHeight="true" outlineLevel="0" collapsed="false">
      <c r="A23" s="29" t="s">
        <v>218</v>
      </c>
    </row>
    <row r="24" customFormat="false" ht="15" hidden="false" customHeight="true" outlineLevel="0" collapsed="false">
      <c r="A24" s="29" t="s">
        <v>219</v>
      </c>
    </row>
    <row r="25" customFormat="false" ht="15" hidden="false" customHeight="true" outlineLevel="0" collapsed="false">
      <c r="A25" s="29" t="s">
        <v>220</v>
      </c>
    </row>
    <row r="26" customFormat="false" ht="15" hidden="false" customHeight="true" outlineLevel="0" collapsed="false">
      <c r="A26" s="29" t="s">
        <v>221</v>
      </c>
    </row>
    <row r="27" customFormat="false" ht="15" hidden="false" customHeight="true" outlineLevel="0" collapsed="false">
      <c r="A27" s="29" t="s">
        <v>222</v>
      </c>
    </row>
    <row r="28" customFormat="false" ht="15" hidden="false" customHeight="true" outlineLevel="0" collapsed="false">
      <c r="A28" s="29" t="s">
        <v>223</v>
      </c>
    </row>
    <row r="29" customFormat="false" ht="15" hidden="false" customHeight="true" outlineLevel="0" collapsed="false">
      <c r="A29" s="29"/>
    </row>
    <row r="30" customFormat="false" ht="15" hidden="false" customHeight="true" outlineLevel="0" collapsed="false">
      <c r="A30" s="30" t="s">
        <v>224</v>
      </c>
    </row>
    <row r="31" customFormat="false" ht="23.25" hidden="false" customHeight="true" outlineLevel="0" collapsed="false">
      <c r="A31" s="29" t="s">
        <v>225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6"/>
    <col collapsed="false" customWidth="true" hidden="false" outlineLevel="0" max="3" min="3" style="0" width="8"/>
    <col collapsed="false" customWidth="true" hidden="false" outlineLevel="0" max="4" min="4" style="0" width="78"/>
  </cols>
  <sheetData>
    <row r="1" customFormat="false" ht="17.35" hidden="false" customHeight="false" outlineLevel="0" collapsed="false">
      <c r="A1" s="31" t="s">
        <v>226</v>
      </c>
    </row>
    <row r="2" customFormat="false" ht="15" hidden="false" customHeight="false" outlineLevel="0" collapsed="false">
      <c r="A2" s="32" t="s">
        <v>227</v>
      </c>
    </row>
    <row r="4" customFormat="false" ht="15" hidden="false" customHeight="false" outlineLevel="0" collapsed="false">
      <c r="A4" s="33" t="s">
        <v>228</v>
      </c>
      <c r="B4" s="33" t="s">
        <v>3</v>
      </c>
      <c r="C4" s="33" t="s">
        <v>4</v>
      </c>
      <c r="D4" s="33" t="s">
        <v>229</v>
      </c>
    </row>
    <row r="5" customFormat="false" ht="15" hidden="false" customHeight="false" outlineLevel="0" collapsed="false">
      <c r="A5" s="34" t="s">
        <v>230</v>
      </c>
      <c r="B5" s="35"/>
      <c r="C5" s="35"/>
      <c r="D5" s="36"/>
    </row>
    <row r="6" customFormat="false" ht="15" hidden="false" customHeight="false" outlineLevel="0" collapsed="false">
      <c r="A6" s="37" t="s">
        <v>231</v>
      </c>
      <c r="B6" s="38" t="n">
        <v>1806</v>
      </c>
      <c r="C6" s="37" t="s">
        <v>78</v>
      </c>
      <c r="D6" s="39" t="s">
        <v>232</v>
      </c>
    </row>
    <row r="7" customFormat="false" ht="15" hidden="false" customHeight="false" outlineLevel="0" collapsed="false">
      <c r="A7" s="37" t="s">
        <v>233</v>
      </c>
      <c r="B7" s="38" t="n">
        <v>800</v>
      </c>
      <c r="C7" s="37" t="s">
        <v>64</v>
      </c>
      <c r="D7" s="39" t="s">
        <v>234</v>
      </c>
    </row>
    <row r="8" customFormat="false" ht="15" hidden="false" customHeight="false" outlineLevel="0" collapsed="false">
      <c r="A8" s="37" t="s">
        <v>235</v>
      </c>
      <c r="B8" s="38" t="n">
        <v>342.4</v>
      </c>
      <c r="C8" s="37" t="s">
        <v>64</v>
      </c>
      <c r="D8" s="39" t="s">
        <v>234</v>
      </c>
    </row>
    <row r="9" customFormat="false" ht="22.35" hidden="false" customHeight="false" outlineLevel="0" collapsed="false">
      <c r="A9" s="37" t="s">
        <v>236</v>
      </c>
      <c r="B9" s="40" t="n">
        <v>19.7</v>
      </c>
      <c r="C9" s="37" t="s">
        <v>64</v>
      </c>
      <c r="D9" s="39" t="s">
        <v>237</v>
      </c>
    </row>
    <row r="10" customFormat="false" ht="15" hidden="false" customHeight="false" outlineLevel="0" collapsed="false">
      <c r="A10" s="34" t="s">
        <v>238</v>
      </c>
      <c r="B10" s="35"/>
      <c r="C10" s="35"/>
      <c r="D10" s="36"/>
    </row>
    <row r="11" customFormat="false" ht="15" hidden="false" customHeight="false" outlineLevel="0" collapsed="false">
      <c r="A11" s="37" t="s">
        <v>239</v>
      </c>
      <c r="B11" s="38" t="n">
        <v>4156</v>
      </c>
      <c r="C11" s="37" t="s">
        <v>78</v>
      </c>
      <c r="D11" s="39" t="s">
        <v>240</v>
      </c>
    </row>
    <row r="12" customFormat="false" ht="15" hidden="false" customHeight="false" outlineLevel="0" collapsed="false">
      <c r="A12" s="37" t="s">
        <v>241</v>
      </c>
      <c r="B12" s="40" t="n">
        <v>102</v>
      </c>
      <c r="C12" s="37" t="s">
        <v>67</v>
      </c>
      <c r="D12" s="39" t="s">
        <v>242</v>
      </c>
    </row>
    <row r="13" customFormat="false" ht="15" hidden="false" customHeight="false" outlineLevel="0" collapsed="false">
      <c r="A13" s="37" t="s">
        <v>243</v>
      </c>
      <c r="B13" s="38" t="n">
        <v>1526</v>
      </c>
      <c r="C13" s="37" t="s">
        <v>64</v>
      </c>
      <c r="D13" s="39" t="s">
        <v>244</v>
      </c>
    </row>
    <row r="14" customFormat="false" ht="15" hidden="false" customHeight="false" outlineLevel="0" collapsed="false">
      <c r="A14" s="37" t="s">
        <v>245</v>
      </c>
      <c r="B14" s="38" t="n">
        <v>4156</v>
      </c>
      <c r="C14" s="37" t="s">
        <v>78</v>
      </c>
      <c r="D14" s="39"/>
    </row>
    <row r="15" customFormat="false" ht="22.35" hidden="false" customHeight="false" outlineLevel="0" collapsed="false">
      <c r="A15" s="37" t="s">
        <v>246</v>
      </c>
      <c r="B15" s="38" t="n">
        <v>5375</v>
      </c>
      <c r="C15" s="37" t="s">
        <v>64</v>
      </c>
      <c r="D15" s="39" t="s">
        <v>247</v>
      </c>
    </row>
    <row r="16" customFormat="false" ht="15" hidden="false" customHeight="false" outlineLevel="0" collapsed="false">
      <c r="A16" s="37" t="s">
        <v>248</v>
      </c>
      <c r="B16" s="38" t="n">
        <v>582</v>
      </c>
      <c r="C16" s="37" t="s">
        <v>64</v>
      </c>
      <c r="D16" s="39" t="s">
        <v>249</v>
      </c>
    </row>
    <row r="17" customFormat="false" ht="15" hidden="false" customHeight="false" outlineLevel="0" collapsed="false">
      <c r="A17" s="37" t="s">
        <v>250</v>
      </c>
      <c r="B17" s="38" t="n">
        <v>5028</v>
      </c>
      <c r="C17" s="37" t="s">
        <v>78</v>
      </c>
      <c r="D17" s="39"/>
    </row>
    <row r="18" customFormat="false" ht="15" hidden="false" customHeight="false" outlineLevel="0" collapsed="false">
      <c r="A18" s="37" t="s">
        <v>251</v>
      </c>
      <c r="B18" s="38" t="n">
        <v>6834</v>
      </c>
      <c r="C18" s="37" t="s">
        <v>78</v>
      </c>
      <c r="D18" s="39" t="s">
        <v>252</v>
      </c>
    </row>
    <row r="19" customFormat="false" ht="15" hidden="false" customHeight="false" outlineLevel="0" collapsed="false">
      <c r="A19" s="34" t="s">
        <v>253</v>
      </c>
      <c r="B19" s="35"/>
      <c r="C19" s="35"/>
      <c r="D19" s="36"/>
    </row>
    <row r="20" customFormat="false" ht="43.25" hidden="false" customHeight="false" outlineLevel="0" collapsed="false">
      <c r="A20" s="41" t="s">
        <v>254</v>
      </c>
      <c r="B20" s="42" t="s">
        <v>255</v>
      </c>
      <c r="C20" s="41"/>
      <c r="D20" s="43" t="s">
        <v>256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5" min="1" style="0" width="15"/>
  </cols>
  <sheetData>
    <row r="1" customFormat="false" ht="23.85" hidden="false" customHeight="false" outlineLevel="0" collapsed="false">
      <c r="A1" s="21" t="s">
        <v>257</v>
      </c>
      <c r="B1" s="21" t="s">
        <v>258</v>
      </c>
      <c r="C1" s="21" t="s">
        <v>259</v>
      </c>
      <c r="D1" s="21" t="s">
        <v>260</v>
      </c>
      <c r="E1" s="21" t="s">
        <v>261</v>
      </c>
      <c r="F1" s="21" t="s">
        <v>262</v>
      </c>
      <c r="G1" s="21" t="s">
        <v>263</v>
      </c>
      <c r="H1" s="21" t="s">
        <v>264</v>
      </c>
      <c r="I1" s="21" t="s">
        <v>265</v>
      </c>
      <c r="J1" s="21" t="s">
        <v>266</v>
      </c>
      <c r="K1" s="21" t="s">
        <v>267</v>
      </c>
      <c r="L1" s="21" t="s">
        <v>268</v>
      </c>
      <c r="M1" s="21" t="s">
        <v>269</v>
      </c>
      <c r="N1" s="21" t="s">
        <v>270</v>
      </c>
      <c r="O1" s="21" t="s">
        <v>271</v>
      </c>
    </row>
    <row r="2" customFormat="false" ht="15" hidden="false" customHeight="false" outlineLevel="0" collapsed="false">
      <c r="A2" s="44" t="n">
        <v>0</v>
      </c>
      <c r="B2" s="45" t="n">
        <v>0</v>
      </c>
      <c r="C2" s="46" t="n">
        <v>800</v>
      </c>
      <c r="D2" s="46" t="n">
        <v>800</v>
      </c>
      <c r="E2" s="46" t="n">
        <v>775.4</v>
      </c>
      <c r="F2" s="46" t="n">
        <v>5375.3</v>
      </c>
      <c r="G2" s="45" t="n">
        <v>22</v>
      </c>
      <c r="H2" s="46" t="n">
        <v>7322.5</v>
      </c>
      <c r="I2" s="46" t="n">
        <v>12499</v>
      </c>
      <c r="J2" s="46" t="n">
        <v>11801.4</v>
      </c>
      <c r="K2" s="46" t="n">
        <v>697.6</v>
      </c>
      <c r="L2" s="47" t="n">
        <v>0</v>
      </c>
      <c r="M2" s="47" t="n">
        <v>0</v>
      </c>
      <c r="N2" s="46" t="n">
        <v>0</v>
      </c>
      <c r="O2" s="46"/>
    </row>
    <row r="3" customFormat="false" ht="15" hidden="false" customHeight="false" outlineLevel="0" collapsed="false">
      <c r="A3" s="44" t="n">
        <v>17</v>
      </c>
      <c r="B3" s="45" t="n">
        <v>2</v>
      </c>
      <c r="C3" s="46" t="n">
        <v>795.7</v>
      </c>
      <c r="D3" s="46" t="n">
        <v>795.2</v>
      </c>
      <c r="E3" s="46" t="n">
        <v>760.8</v>
      </c>
      <c r="F3" s="46" t="n">
        <v>5360.6</v>
      </c>
      <c r="G3" s="45" t="n">
        <v>22.13</v>
      </c>
      <c r="H3" s="46" t="n">
        <v>7279.7</v>
      </c>
      <c r="I3" s="46" t="n">
        <v>12417.2</v>
      </c>
      <c r="J3" s="46" t="n">
        <v>11755</v>
      </c>
      <c r="K3" s="46" t="n">
        <v>662.2</v>
      </c>
      <c r="L3" s="47" t="n">
        <v>0</v>
      </c>
      <c r="M3" s="47" t="n">
        <v>0</v>
      </c>
      <c r="N3" s="46" t="n">
        <v>112.6</v>
      </c>
      <c r="O3" s="46"/>
    </row>
    <row r="4" customFormat="false" ht="15" hidden="false" customHeight="false" outlineLevel="0" collapsed="false">
      <c r="A4" s="44" t="n">
        <v>34</v>
      </c>
      <c r="B4" s="45" t="n">
        <v>4</v>
      </c>
      <c r="C4" s="46" t="n">
        <v>791.3</v>
      </c>
      <c r="D4" s="46" t="n">
        <v>790.4</v>
      </c>
      <c r="E4" s="46" t="n">
        <v>746.1</v>
      </c>
      <c r="F4" s="46" t="n">
        <v>5345.9</v>
      </c>
      <c r="G4" s="45" t="n">
        <v>22.26</v>
      </c>
      <c r="H4" s="46" t="n">
        <v>7237</v>
      </c>
      <c r="I4" s="46" t="n">
        <v>12335.5</v>
      </c>
      <c r="J4" s="46" t="n">
        <v>11708.6</v>
      </c>
      <c r="K4" s="46" t="n">
        <v>626.9</v>
      </c>
      <c r="L4" s="47" t="n">
        <v>0</v>
      </c>
      <c r="M4" s="47" t="n">
        <v>0</v>
      </c>
      <c r="N4" s="46" t="n">
        <v>225.2</v>
      </c>
      <c r="O4" s="46"/>
    </row>
    <row r="5" customFormat="false" ht="15" hidden="false" customHeight="false" outlineLevel="0" collapsed="false">
      <c r="A5" s="44" t="n">
        <v>51</v>
      </c>
      <c r="B5" s="45" t="n">
        <v>6</v>
      </c>
      <c r="C5" s="46" t="n">
        <v>787</v>
      </c>
      <c r="D5" s="46" t="n">
        <v>785.6</v>
      </c>
      <c r="E5" s="46" t="n">
        <v>733.2</v>
      </c>
      <c r="F5" s="46" t="n">
        <v>5333.1</v>
      </c>
      <c r="G5" s="45" t="n">
        <v>22.39</v>
      </c>
      <c r="H5" s="46" t="n">
        <v>7196.7</v>
      </c>
      <c r="I5" s="46" t="n">
        <v>12258.4</v>
      </c>
      <c r="J5" s="46" t="n">
        <v>11662.3</v>
      </c>
      <c r="K5" s="46" t="n">
        <v>596.1</v>
      </c>
      <c r="L5" s="47" t="n">
        <v>0</v>
      </c>
      <c r="M5" s="47" t="n">
        <v>0</v>
      </c>
      <c r="N5" s="46" t="n">
        <v>337.8</v>
      </c>
      <c r="O5" s="46"/>
    </row>
    <row r="6" customFormat="false" ht="15" hidden="false" customHeight="false" outlineLevel="0" collapsed="false">
      <c r="A6" s="44" t="n">
        <v>68</v>
      </c>
      <c r="B6" s="45" t="n">
        <v>8</v>
      </c>
      <c r="C6" s="46" t="n">
        <v>782.7</v>
      </c>
      <c r="D6" s="46" t="n">
        <v>780.8</v>
      </c>
      <c r="E6" s="46" t="n">
        <v>720.5</v>
      </c>
      <c r="F6" s="46" t="n">
        <v>5320.3</v>
      </c>
      <c r="G6" s="45" t="n">
        <v>22.51</v>
      </c>
      <c r="H6" s="46" t="n">
        <v>7156.4</v>
      </c>
      <c r="I6" s="46" t="n">
        <v>12181.2</v>
      </c>
      <c r="J6" s="46" t="n">
        <v>11616</v>
      </c>
      <c r="K6" s="46" t="n">
        <v>565.2</v>
      </c>
      <c r="L6" s="47" t="n">
        <v>0</v>
      </c>
      <c r="M6" s="47" t="n">
        <v>0</v>
      </c>
      <c r="N6" s="46" t="n">
        <v>450.5</v>
      </c>
      <c r="O6" s="46"/>
    </row>
    <row r="7" customFormat="false" ht="15" hidden="false" customHeight="false" outlineLevel="0" collapsed="false">
      <c r="A7" s="44" t="n">
        <v>85</v>
      </c>
      <c r="B7" s="45" t="n">
        <v>10</v>
      </c>
      <c r="C7" s="46" t="n">
        <v>778.3</v>
      </c>
      <c r="D7" s="46" t="n">
        <v>776</v>
      </c>
      <c r="E7" s="46" t="n">
        <v>707.7</v>
      </c>
      <c r="F7" s="46" t="n">
        <v>5307.5</v>
      </c>
      <c r="G7" s="45" t="n">
        <v>22.64</v>
      </c>
      <c r="H7" s="46" t="n">
        <v>7116.2</v>
      </c>
      <c r="I7" s="46" t="n">
        <v>12104.1</v>
      </c>
      <c r="J7" s="46" t="n">
        <v>11569.6</v>
      </c>
      <c r="K7" s="46" t="n">
        <v>534.4</v>
      </c>
      <c r="L7" s="47" t="n">
        <v>0</v>
      </c>
      <c r="M7" s="47" t="n">
        <v>0</v>
      </c>
      <c r="N7" s="46" t="n">
        <v>563.1</v>
      </c>
      <c r="O7" s="46"/>
    </row>
    <row r="8" customFormat="false" ht="15" hidden="false" customHeight="false" outlineLevel="0" collapsed="false">
      <c r="A8" s="44" t="n">
        <v>103</v>
      </c>
      <c r="B8" s="45" t="n">
        <v>12</v>
      </c>
      <c r="C8" s="46" t="n">
        <v>774</v>
      </c>
      <c r="D8" s="46" t="n">
        <v>771.2</v>
      </c>
      <c r="E8" s="46" t="n">
        <v>695.3</v>
      </c>
      <c r="F8" s="46" t="n">
        <v>5295.1</v>
      </c>
      <c r="G8" s="45" t="n">
        <v>22.77</v>
      </c>
      <c r="H8" s="46" t="n">
        <v>7076.5</v>
      </c>
      <c r="I8" s="46" t="n">
        <v>12027.9</v>
      </c>
      <c r="J8" s="46" t="n">
        <v>11523.3</v>
      </c>
      <c r="K8" s="46" t="n">
        <v>504.6</v>
      </c>
      <c r="L8" s="47" t="n">
        <v>0</v>
      </c>
      <c r="M8" s="47" t="n">
        <v>0</v>
      </c>
      <c r="N8" s="46" t="n">
        <v>675.7</v>
      </c>
      <c r="O8" s="46"/>
    </row>
    <row r="9" customFormat="false" ht="15" hidden="false" customHeight="false" outlineLevel="0" collapsed="false">
      <c r="A9" s="44" t="n">
        <v>120</v>
      </c>
      <c r="B9" s="45" t="n">
        <v>14</v>
      </c>
      <c r="C9" s="46" t="n">
        <v>769.7</v>
      </c>
      <c r="D9" s="46" t="n">
        <v>766.4</v>
      </c>
      <c r="E9" s="46" t="n">
        <v>692.6</v>
      </c>
      <c r="F9" s="46" t="n">
        <v>5292.5</v>
      </c>
      <c r="G9" s="45" t="n">
        <v>22.85</v>
      </c>
      <c r="H9" s="46" t="n">
        <v>7049.2</v>
      </c>
      <c r="I9" s="46" t="n">
        <v>11975.7</v>
      </c>
      <c r="J9" s="46" t="n">
        <v>11477.8</v>
      </c>
      <c r="K9" s="46" t="n">
        <v>497.9</v>
      </c>
      <c r="L9" s="47" t="n">
        <v>0</v>
      </c>
      <c r="M9" s="47" t="n">
        <v>0</v>
      </c>
      <c r="N9" s="46" t="n">
        <v>788.3</v>
      </c>
      <c r="O9" s="46"/>
    </row>
    <row r="10" customFormat="false" ht="15" hidden="false" customHeight="false" outlineLevel="0" collapsed="false">
      <c r="A10" s="44" t="n">
        <v>137</v>
      </c>
      <c r="B10" s="45" t="n">
        <v>16</v>
      </c>
      <c r="C10" s="46" t="n">
        <v>765.4</v>
      </c>
      <c r="D10" s="46" t="n">
        <v>761.6</v>
      </c>
      <c r="E10" s="46" t="n">
        <v>693.4</v>
      </c>
      <c r="F10" s="46" t="n">
        <v>5293.3</v>
      </c>
      <c r="G10" s="45" t="n">
        <v>22.93</v>
      </c>
      <c r="H10" s="46" t="n">
        <v>7026.5</v>
      </c>
      <c r="I10" s="46" t="n">
        <v>11932.1</v>
      </c>
      <c r="J10" s="46" t="n">
        <v>11432.6</v>
      </c>
      <c r="K10" s="46" t="n">
        <v>499.5</v>
      </c>
      <c r="L10" s="47" t="n">
        <v>0</v>
      </c>
      <c r="M10" s="47" t="n">
        <v>0</v>
      </c>
      <c r="N10" s="46" t="n">
        <v>900.9</v>
      </c>
      <c r="O10" s="46"/>
    </row>
    <row r="11" customFormat="false" ht="15" hidden="false" customHeight="false" outlineLevel="0" collapsed="false">
      <c r="A11" s="44" t="n">
        <v>154</v>
      </c>
      <c r="B11" s="45" t="n">
        <v>18</v>
      </c>
      <c r="C11" s="46" t="n">
        <v>761</v>
      </c>
      <c r="D11" s="46" t="n">
        <v>756.8</v>
      </c>
      <c r="E11" s="46" t="n">
        <v>694.3</v>
      </c>
      <c r="F11" s="46" t="n">
        <v>5294.1</v>
      </c>
      <c r="G11" s="45" t="n">
        <v>23</v>
      </c>
      <c r="H11" s="46" t="n">
        <v>7003.6</v>
      </c>
      <c r="I11" s="46" t="n">
        <v>11888.6</v>
      </c>
      <c r="J11" s="46" t="n">
        <v>11387.4</v>
      </c>
      <c r="K11" s="46" t="n">
        <v>501.2</v>
      </c>
      <c r="L11" s="47" t="n">
        <v>0</v>
      </c>
      <c r="M11" s="47" t="n">
        <v>0</v>
      </c>
      <c r="N11" s="46" t="n">
        <v>1013.5</v>
      </c>
      <c r="O11" s="46"/>
    </row>
    <row r="12" customFormat="false" ht="15" hidden="false" customHeight="false" outlineLevel="0" collapsed="false">
      <c r="A12" s="44" t="n">
        <v>171</v>
      </c>
      <c r="B12" s="45" t="n">
        <v>20</v>
      </c>
      <c r="C12" s="46" t="n">
        <v>756.7</v>
      </c>
      <c r="D12" s="46" t="n">
        <v>752</v>
      </c>
      <c r="E12" s="46" t="n">
        <v>695.1</v>
      </c>
      <c r="F12" s="46" t="n">
        <v>5294.9</v>
      </c>
      <c r="G12" s="45" t="n">
        <v>23.08</v>
      </c>
      <c r="H12" s="46" t="n">
        <v>6980.9</v>
      </c>
      <c r="I12" s="46" t="n">
        <v>11845</v>
      </c>
      <c r="J12" s="46" t="n">
        <v>11342.2</v>
      </c>
      <c r="K12" s="46" t="n">
        <v>502.8</v>
      </c>
      <c r="L12" s="47" t="n">
        <v>0</v>
      </c>
      <c r="M12" s="47" t="n">
        <v>0</v>
      </c>
      <c r="N12" s="46" t="n">
        <v>1126.1</v>
      </c>
      <c r="O12" s="46"/>
    </row>
    <row r="13" customFormat="false" ht="15" hidden="false" customHeight="false" outlineLevel="0" collapsed="false">
      <c r="A13" s="44" t="n">
        <v>188</v>
      </c>
      <c r="B13" s="45" t="n">
        <v>22</v>
      </c>
      <c r="C13" s="46" t="n">
        <v>752.4</v>
      </c>
      <c r="D13" s="46" t="n">
        <v>747.2</v>
      </c>
      <c r="E13" s="46" t="n">
        <v>696</v>
      </c>
      <c r="F13" s="46" t="n">
        <v>5295.8</v>
      </c>
      <c r="G13" s="45" t="n">
        <v>23.15</v>
      </c>
      <c r="H13" s="46" t="n">
        <v>6958.1</v>
      </c>
      <c r="I13" s="46" t="n">
        <v>11801.4</v>
      </c>
      <c r="J13" s="46" t="n">
        <v>11297</v>
      </c>
      <c r="K13" s="46" t="n">
        <v>504.4</v>
      </c>
      <c r="L13" s="47" t="n">
        <v>0</v>
      </c>
      <c r="M13" s="47" t="n">
        <v>0</v>
      </c>
      <c r="N13" s="46" t="n">
        <v>1238.7</v>
      </c>
      <c r="O13" s="46"/>
    </row>
    <row r="14" customFormat="false" ht="15" hidden="false" customHeight="false" outlineLevel="0" collapsed="false">
      <c r="A14" s="44" t="n">
        <v>205</v>
      </c>
      <c r="B14" s="45" t="n">
        <v>24</v>
      </c>
      <c r="C14" s="46" t="n">
        <v>748</v>
      </c>
      <c r="D14" s="46" t="n">
        <v>742.4</v>
      </c>
      <c r="E14" s="46" t="n">
        <v>696.8</v>
      </c>
      <c r="F14" s="46" t="n">
        <v>5296.7</v>
      </c>
      <c r="G14" s="45" t="n">
        <v>23.23</v>
      </c>
      <c r="H14" s="46" t="n">
        <v>6935.4</v>
      </c>
      <c r="I14" s="46" t="n">
        <v>11757.8</v>
      </c>
      <c r="J14" s="46" t="n">
        <v>11251.8</v>
      </c>
      <c r="K14" s="46" t="n">
        <v>506.1</v>
      </c>
      <c r="L14" s="47" t="n">
        <v>0</v>
      </c>
      <c r="M14" s="47" t="n">
        <v>0</v>
      </c>
      <c r="N14" s="46" t="n">
        <v>1351.4</v>
      </c>
      <c r="O14" s="46"/>
    </row>
    <row r="15" customFormat="false" ht="15" hidden="false" customHeight="false" outlineLevel="0" collapsed="false">
      <c r="A15" s="44" t="n">
        <v>222</v>
      </c>
      <c r="B15" s="45" t="n">
        <v>26</v>
      </c>
      <c r="C15" s="46" t="n">
        <v>743.7</v>
      </c>
      <c r="D15" s="46" t="n">
        <v>737.6</v>
      </c>
      <c r="E15" s="46" t="n">
        <v>697.7</v>
      </c>
      <c r="F15" s="46" t="n">
        <v>5297.6</v>
      </c>
      <c r="G15" s="45" t="n">
        <v>23.31</v>
      </c>
      <c r="H15" s="46" t="n">
        <v>6912.7</v>
      </c>
      <c r="I15" s="46" t="n">
        <v>11714.3</v>
      </c>
      <c r="J15" s="46" t="n">
        <v>11206.5</v>
      </c>
      <c r="K15" s="46" t="n">
        <v>507.7</v>
      </c>
      <c r="L15" s="47" t="n">
        <v>0</v>
      </c>
      <c r="M15" s="47" t="n">
        <v>0</v>
      </c>
      <c r="N15" s="46" t="n">
        <v>1464</v>
      </c>
      <c r="O15" s="46"/>
    </row>
    <row r="16" customFormat="false" ht="15" hidden="false" customHeight="false" outlineLevel="0" collapsed="false">
      <c r="A16" s="44" t="n">
        <v>239</v>
      </c>
      <c r="B16" s="45" t="n">
        <v>28</v>
      </c>
      <c r="C16" s="46" t="n">
        <v>739.4</v>
      </c>
      <c r="D16" s="46" t="n">
        <v>732.8</v>
      </c>
      <c r="E16" s="46" t="n">
        <v>698.6</v>
      </c>
      <c r="F16" s="46" t="n">
        <v>5298.5</v>
      </c>
      <c r="G16" s="45" t="n">
        <v>23.38</v>
      </c>
      <c r="H16" s="46" t="n">
        <v>6890</v>
      </c>
      <c r="I16" s="46" t="n">
        <v>11670.7</v>
      </c>
      <c r="J16" s="46" t="n">
        <v>11161.3</v>
      </c>
      <c r="K16" s="46" t="n">
        <v>509.4</v>
      </c>
      <c r="L16" s="47" t="n">
        <v>0</v>
      </c>
      <c r="M16" s="47" t="n">
        <v>0</v>
      </c>
      <c r="N16" s="46" t="n">
        <v>1576.6</v>
      </c>
      <c r="O16" s="46"/>
    </row>
    <row r="17" customFormat="false" ht="15" hidden="false" customHeight="false" outlineLevel="0" collapsed="false">
      <c r="A17" s="44" t="n">
        <v>256</v>
      </c>
      <c r="B17" s="45" t="n">
        <v>30</v>
      </c>
      <c r="C17" s="46" t="n">
        <v>735</v>
      </c>
      <c r="D17" s="46" t="n">
        <v>728</v>
      </c>
      <c r="E17" s="46" t="n">
        <v>699.5</v>
      </c>
      <c r="F17" s="46" t="n">
        <v>5299.4</v>
      </c>
      <c r="G17" s="45" t="n">
        <v>23.46</v>
      </c>
      <c r="H17" s="46" t="n">
        <v>6867.3</v>
      </c>
      <c r="I17" s="46" t="n">
        <v>11627.1</v>
      </c>
      <c r="J17" s="46" t="n">
        <v>11116</v>
      </c>
      <c r="K17" s="46" t="n">
        <v>511.1</v>
      </c>
      <c r="L17" s="47" t="n">
        <v>0</v>
      </c>
      <c r="M17" s="47" t="n">
        <v>0</v>
      </c>
      <c r="N17" s="46" t="n">
        <v>1689.2</v>
      </c>
      <c r="O17" s="46"/>
    </row>
    <row r="18" customFormat="false" ht="15" hidden="false" customHeight="false" outlineLevel="0" collapsed="false">
      <c r="A18" s="44" t="n">
        <v>273</v>
      </c>
      <c r="B18" s="45" t="n">
        <v>32</v>
      </c>
      <c r="C18" s="46" t="n">
        <v>730.7</v>
      </c>
      <c r="D18" s="46" t="n">
        <v>723.2</v>
      </c>
      <c r="E18" s="46" t="n">
        <v>700.4</v>
      </c>
      <c r="F18" s="46" t="n">
        <v>5300.3</v>
      </c>
      <c r="G18" s="45" t="n">
        <v>23.54</v>
      </c>
      <c r="H18" s="46" t="n">
        <v>6844.5</v>
      </c>
      <c r="I18" s="46" t="n">
        <v>11583.6</v>
      </c>
      <c r="J18" s="46" t="n">
        <v>11070.8</v>
      </c>
      <c r="K18" s="46" t="n">
        <v>512.8</v>
      </c>
      <c r="L18" s="47" t="n">
        <v>0</v>
      </c>
      <c r="M18" s="47" t="n">
        <v>0</v>
      </c>
      <c r="N18" s="46" t="n">
        <v>1801.8</v>
      </c>
      <c r="O18" s="46"/>
    </row>
    <row r="19" customFormat="false" ht="15" hidden="false" customHeight="false" outlineLevel="0" collapsed="false">
      <c r="A19" s="44" t="n">
        <v>290</v>
      </c>
      <c r="B19" s="45" t="n">
        <v>34</v>
      </c>
      <c r="C19" s="46" t="n">
        <v>726.4</v>
      </c>
      <c r="D19" s="46" t="n">
        <v>718.4</v>
      </c>
      <c r="E19" s="46" t="n">
        <v>701.3</v>
      </c>
      <c r="F19" s="46" t="n">
        <v>5301.2</v>
      </c>
      <c r="G19" s="45" t="n">
        <v>23.62</v>
      </c>
      <c r="H19" s="46" t="n">
        <v>6821.8</v>
      </c>
      <c r="I19" s="46" t="n">
        <v>11540</v>
      </c>
      <c r="J19" s="46" t="n">
        <v>11025.5</v>
      </c>
      <c r="K19" s="46" t="n">
        <v>514.5</v>
      </c>
      <c r="L19" s="47" t="n">
        <v>0</v>
      </c>
      <c r="M19" s="47" t="n">
        <v>0</v>
      </c>
      <c r="N19" s="46" t="n">
        <v>1914.4</v>
      </c>
      <c r="O19" s="46"/>
    </row>
    <row r="20" customFormat="false" ht="15" hidden="false" customHeight="false" outlineLevel="0" collapsed="false">
      <c r="A20" s="44" t="n">
        <v>308</v>
      </c>
      <c r="B20" s="45" t="n">
        <v>36</v>
      </c>
      <c r="C20" s="46" t="n">
        <v>722.1</v>
      </c>
      <c r="D20" s="46" t="n">
        <v>713.6</v>
      </c>
      <c r="E20" s="46" t="n">
        <v>702.2</v>
      </c>
      <c r="F20" s="46" t="n">
        <v>5302.1</v>
      </c>
      <c r="G20" s="45" t="n">
        <v>23.7</v>
      </c>
      <c r="H20" s="46" t="n">
        <v>6799</v>
      </c>
      <c r="I20" s="46" t="n">
        <v>11496.4</v>
      </c>
      <c r="J20" s="46" t="n">
        <v>10980.2</v>
      </c>
      <c r="K20" s="46" t="n">
        <v>516.2</v>
      </c>
      <c r="L20" s="47" t="n">
        <v>0</v>
      </c>
      <c r="M20" s="47" t="n">
        <v>0</v>
      </c>
      <c r="N20" s="46" t="n">
        <v>2027</v>
      </c>
      <c r="O20" s="46"/>
    </row>
    <row r="21" customFormat="false" ht="15" hidden="false" customHeight="false" outlineLevel="0" collapsed="false">
      <c r="A21" s="44" t="n">
        <v>325</v>
      </c>
      <c r="B21" s="45" t="n">
        <v>38</v>
      </c>
      <c r="C21" s="46" t="n">
        <v>717.7</v>
      </c>
      <c r="D21" s="46" t="n">
        <v>708.8</v>
      </c>
      <c r="E21" s="46" t="n">
        <v>703.1</v>
      </c>
      <c r="F21" s="46" t="n">
        <v>5302.9</v>
      </c>
      <c r="G21" s="45" t="n">
        <v>23.78</v>
      </c>
      <c r="H21" s="46" t="n">
        <v>6776.3</v>
      </c>
      <c r="I21" s="46" t="n">
        <v>11452.8</v>
      </c>
      <c r="J21" s="46" t="n">
        <v>10934.9</v>
      </c>
      <c r="K21" s="46" t="n">
        <v>518</v>
      </c>
      <c r="L21" s="47" t="n">
        <v>0</v>
      </c>
      <c r="M21" s="47" t="n">
        <v>0</v>
      </c>
      <c r="N21" s="46" t="n">
        <v>2139.6</v>
      </c>
      <c r="O21" s="46"/>
    </row>
    <row r="22" customFormat="false" ht="15" hidden="false" customHeight="false" outlineLevel="0" collapsed="false">
      <c r="A22" s="44" t="n">
        <v>342</v>
      </c>
      <c r="B22" s="45" t="n">
        <v>40</v>
      </c>
      <c r="C22" s="46" t="n">
        <v>713.4</v>
      </c>
      <c r="D22" s="46" t="n">
        <v>704</v>
      </c>
      <c r="E22" s="46" t="n">
        <v>704</v>
      </c>
      <c r="F22" s="46" t="n">
        <v>5303.9</v>
      </c>
      <c r="G22" s="45" t="n">
        <v>23.86</v>
      </c>
      <c r="H22" s="46" t="n">
        <v>6753.5</v>
      </c>
      <c r="I22" s="46" t="n">
        <v>11409.3</v>
      </c>
      <c r="J22" s="46" t="n">
        <v>10889.5</v>
      </c>
      <c r="K22" s="46" t="n">
        <v>519.7</v>
      </c>
      <c r="L22" s="47" t="n">
        <v>0</v>
      </c>
      <c r="M22" s="47" t="n">
        <v>0</v>
      </c>
      <c r="N22" s="46" t="n">
        <v>2252.3</v>
      </c>
      <c r="O22" s="46"/>
    </row>
    <row r="23" customFormat="false" ht="15" hidden="false" customHeight="false" outlineLevel="0" collapsed="false">
      <c r="A23" s="44" t="n">
        <v>359</v>
      </c>
      <c r="B23" s="45" t="n">
        <v>42</v>
      </c>
      <c r="C23" s="46" t="n">
        <v>709.1</v>
      </c>
      <c r="D23" s="46" t="n">
        <v>699.3</v>
      </c>
      <c r="E23" s="46" t="n">
        <v>705</v>
      </c>
      <c r="F23" s="46" t="n">
        <v>5304.8</v>
      </c>
      <c r="G23" s="45" t="n">
        <v>23.94</v>
      </c>
      <c r="H23" s="46" t="n">
        <v>6730.7</v>
      </c>
      <c r="I23" s="46" t="n">
        <v>11365.7</v>
      </c>
      <c r="J23" s="46" t="n">
        <v>10844.2</v>
      </c>
      <c r="K23" s="46" t="n">
        <v>521.5</v>
      </c>
      <c r="L23" s="47" t="n">
        <v>0</v>
      </c>
      <c r="M23" s="47" t="n">
        <v>0</v>
      </c>
      <c r="N23" s="46" t="n">
        <v>2364.9</v>
      </c>
      <c r="O23" s="46"/>
    </row>
    <row r="24" customFormat="false" ht="15" hidden="false" customHeight="false" outlineLevel="0" collapsed="false">
      <c r="A24" s="44" t="n">
        <v>376</v>
      </c>
      <c r="B24" s="45" t="n">
        <v>44</v>
      </c>
      <c r="C24" s="46" t="n">
        <v>704.7</v>
      </c>
      <c r="D24" s="46" t="n">
        <v>694.6</v>
      </c>
      <c r="E24" s="46" t="n">
        <v>705.9</v>
      </c>
      <c r="F24" s="46" t="n">
        <v>5305.8</v>
      </c>
      <c r="G24" s="45" t="n">
        <v>24.02</v>
      </c>
      <c r="H24" s="46" t="n">
        <v>6708</v>
      </c>
      <c r="I24" s="46" t="n">
        <v>11322.1</v>
      </c>
      <c r="J24" s="46" t="n">
        <v>10798.9</v>
      </c>
      <c r="K24" s="46" t="n">
        <v>523.2</v>
      </c>
      <c r="L24" s="47" t="n">
        <v>0</v>
      </c>
      <c r="M24" s="47" t="n">
        <v>0</v>
      </c>
      <c r="N24" s="46" t="n">
        <v>2477.5</v>
      </c>
      <c r="O24" s="46"/>
    </row>
    <row r="25" customFormat="false" ht="15" hidden="false" customHeight="false" outlineLevel="0" collapsed="false">
      <c r="A25" s="44" t="n">
        <v>393</v>
      </c>
      <c r="B25" s="45" t="n">
        <v>46</v>
      </c>
      <c r="C25" s="46" t="n">
        <v>700.4</v>
      </c>
      <c r="D25" s="46" t="n">
        <v>689.9</v>
      </c>
      <c r="E25" s="46" t="n">
        <v>706.9</v>
      </c>
      <c r="F25" s="46" t="n">
        <v>5306.7</v>
      </c>
      <c r="G25" s="45" t="n">
        <v>24.1</v>
      </c>
      <c r="H25" s="46" t="n">
        <v>6685.2</v>
      </c>
      <c r="I25" s="46" t="n">
        <v>11278.5</v>
      </c>
      <c r="J25" s="46" t="n">
        <v>10753.5</v>
      </c>
      <c r="K25" s="46" t="n">
        <v>525</v>
      </c>
      <c r="L25" s="47" t="n">
        <v>0</v>
      </c>
      <c r="M25" s="47" t="n">
        <v>0</v>
      </c>
      <c r="N25" s="46" t="n">
        <v>2590.1</v>
      </c>
      <c r="O25" s="46"/>
    </row>
    <row r="26" customFormat="false" ht="15" hidden="false" customHeight="false" outlineLevel="0" collapsed="false">
      <c r="A26" s="44" t="n">
        <v>410</v>
      </c>
      <c r="B26" s="45" t="n">
        <v>48</v>
      </c>
      <c r="C26" s="46" t="n">
        <v>696.1</v>
      </c>
      <c r="D26" s="46" t="n">
        <v>685.3</v>
      </c>
      <c r="E26" s="46" t="n">
        <v>707.8</v>
      </c>
      <c r="F26" s="46" t="n">
        <v>5307.7</v>
      </c>
      <c r="G26" s="45" t="n">
        <v>24.18</v>
      </c>
      <c r="H26" s="46" t="n">
        <v>6662.5</v>
      </c>
      <c r="I26" s="46" t="n">
        <v>11235</v>
      </c>
      <c r="J26" s="46" t="n">
        <v>10708.2</v>
      </c>
      <c r="K26" s="46" t="n">
        <v>526.8</v>
      </c>
      <c r="L26" s="47" t="n">
        <v>0</v>
      </c>
      <c r="M26" s="47" t="n">
        <v>0</v>
      </c>
      <c r="N26" s="46" t="n">
        <v>2702.7</v>
      </c>
      <c r="O26" s="46"/>
    </row>
    <row r="27" customFormat="false" ht="15" hidden="false" customHeight="false" outlineLevel="0" collapsed="false">
      <c r="A27" s="44" t="n">
        <v>427</v>
      </c>
      <c r="B27" s="45" t="n">
        <v>50</v>
      </c>
      <c r="C27" s="46" t="n">
        <v>691.7</v>
      </c>
      <c r="D27" s="46" t="n">
        <v>680.8</v>
      </c>
      <c r="E27" s="46" t="n">
        <v>708.8</v>
      </c>
      <c r="F27" s="46" t="n">
        <v>5308.6</v>
      </c>
      <c r="G27" s="45" t="n">
        <v>24.26</v>
      </c>
      <c r="H27" s="46" t="n">
        <v>6639.7</v>
      </c>
      <c r="I27" s="46" t="n">
        <v>11191.4</v>
      </c>
      <c r="J27" s="46" t="n">
        <v>10662.8</v>
      </c>
      <c r="K27" s="46" t="n">
        <v>528.6</v>
      </c>
      <c r="L27" s="47" t="n">
        <v>0</v>
      </c>
      <c r="M27" s="47" t="n">
        <v>0</v>
      </c>
      <c r="N27" s="46" t="n">
        <v>2815.3</v>
      </c>
      <c r="O27" s="46"/>
    </row>
    <row r="28" customFormat="false" ht="15" hidden="false" customHeight="false" outlineLevel="0" collapsed="false">
      <c r="A28" s="44" t="n">
        <v>444</v>
      </c>
      <c r="B28" s="45" t="n">
        <v>52</v>
      </c>
      <c r="C28" s="46" t="n">
        <v>687.4</v>
      </c>
      <c r="D28" s="46" t="n">
        <v>676.3</v>
      </c>
      <c r="E28" s="46" t="n">
        <v>709.8</v>
      </c>
      <c r="F28" s="46" t="n">
        <v>5309.6</v>
      </c>
      <c r="G28" s="45" t="n">
        <v>24.35</v>
      </c>
      <c r="H28" s="46" t="n">
        <v>6617</v>
      </c>
      <c r="I28" s="46" t="n">
        <v>11147.8</v>
      </c>
      <c r="J28" s="46" t="n">
        <v>10617.4</v>
      </c>
      <c r="K28" s="46" t="n">
        <v>530.4</v>
      </c>
      <c r="L28" s="47" t="n">
        <v>0</v>
      </c>
      <c r="M28" s="47" t="n">
        <v>0</v>
      </c>
      <c r="N28" s="46" t="n">
        <v>2927.9</v>
      </c>
      <c r="O28" s="46"/>
    </row>
    <row r="29" customFormat="false" ht="15" hidden="false" customHeight="false" outlineLevel="0" collapsed="false">
      <c r="A29" s="44" t="n">
        <v>461</v>
      </c>
      <c r="B29" s="45" t="n">
        <v>54</v>
      </c>
      <c r="C29" s="46" t="n">
        <v>683.1</v>
      </c>
      <c r="D29" s="46" t="n">
        <v>672</v>
      </c>
      <c r="E29" s="46" t="n">
        <v>710.7</v>
      </c>
      <c r="F29" s="46" t="n">
        <v>5310.6</v>
      </c>
      <c r="G29" s="45" t="n">
        <v>24.43</v>
      </c>
      <c r="H29" s="46" t="n">
        <v>6594.3</v>
      </c>
      <c r="I29" s="46" t="n">
        <v>11104.3</v>
      </c>
      <c r="J29" s="46" t="n">
        <v>10572</v>
      </c>
      <c r="K29" s="46" t="n">
        <v>532.3</v>
      </c>
      <c r="L29" s="47" t="n">
        <v>0</v>
      </c>
      <c r="M29" s="47" t="n">
        <v>0</v>
      </c>
      <c r="N29" s="46" t="n">
        <v>3040.5</v>
      </c>
      <c r="O29" s="46"/>
    </row>
    <row r="30" customFormat="false" ht="15" hidden="false" customHeight="false" outlineLevel="0" collapsed="false">
      <c r="A30" s="44" t="n">
        <v>478</v>
      </c>
      <c r="B30" s="45" t="n">
        <v>56</v>
      </c>
      <c r="C30" s="46" t="n">
        <v>678.8</v>
      </c>
      <c r="D30" s="46" t="n">
        <v>667.8</v>
      </c>
      <c r="E30" s="46" t="n">
        <v>711.7</v>
      </c>
      <c r="F30" s="46" t="n">
        <v>5311.5</v>
      </c>
      <c r="G30" s="45" t="n">
        <v>24.52</v>
      </c>
      <c r="H30" s="46" t="n">
        <v>6571.5</v>
      </c>
      <c r="I30" s="46" t="n">
        <v>11060.7</v>
      </c>
      <c r="J30" s="46" t="n">
        <v>10526.6</v>
      </c>
      <c r="K30" s="46" t="n">
        <v>534.1</v>
      </c>
      <c r="L30" s="47" t="n">
        <v>0</v>
      </c>
      <c r="M30" s="47" t="n">
        <v>0</v>
      </c>
      <c r="N30" s="46" t="n">
        <v>3153.2</v>
      </c>
      <c r="O30" s="46"/>
    </row>
    <row r="31" customFormat="false" ht="15" hidden="false" customHeight="false" outlineLevel="0" collapsed="false">
      <c r="A31" s="44" t="n">
        <v>496</v>
      </c>
      <c r="B31" s="45" t="n">
        <v>58</v>
      </c>
      <c r="C31" s="46" t="n">
        <v>674.4</v>
      </c>
      <c r="D31" s="46" t="n">
        <v>663.7</v>
      </c>
      <c r="E31" s="46" t="n">
        <v>712.7</v>
      </c>
      <c r="F31" s="46" t="n">
        <v>5312.5</v>
      </c>
      <c r="G31" s="45" t="n">
        <v>24.6</v>
      </c>
      <c r="H31" s="46" t="n">
        <v>6548.8</v>
      </c>
      <c r="I31" s="46" t="n">
        <v>11017.1</v>
      </c>
      <c r="J31" s="46" t="n">
        <v>10481.1</v>
      </c>
      <c r="K31" s="46" t="n">
        <v>536</v>
      </c>
      <c r="L31" s="47" t="n">
        <v>0</v>
      </c>
      <c r="M31" s="47" t="n">
        <v>0</v>
      </c>
      <c r="N31" s="46" t="n">
        <v>3265.8</v>
      </c>
      <c r="O31" s="46"/>
    </row>
    <row r="32" customFormat="false" ht="15" hidden="false" customHeight="false" outlineLevel="0" collapsed="false">
      <c r="A32" s="44" t="n">
        <v>513</v>
      </c>
      <c r="B32" s="45" t="n">
        <v>60</v>
      </c>
      <c r="C32" s="46" t="n">
        <v>670.1</v>
      </c>
      <c r="D32" s="46" t="n">
        <v>659.7</v>
      </c>
      <c r="E32" s="46" t="n">
        <v>713.6</v>
      </c>
      <c r="F32" s="46" t="n">
        <v>5313.5</v>
      </c>
      <c r="G32" s="45" t="n">
        <v>24.69</v>
      </c>
      <c r="H32" s="46" t="n">
        <v>6526</v>
      </c>
      <c r="I32" s="46" t="n">
        <v>10973.5</v>
      </c>
      <c r="J32" s="46" t="n">
        <v>10435.7</v>
      </c>
      <c r="K32" s="46" t="n">
        <v>537.8</v>
      </c>
      <c r="L32" s="47" t="n">
        <v>0</v>
      </c>
      <c r="M32" s="47" t="n">
        <v>0</v>
      </c>
      <c r="N32" s="46" t="n">
        <v>3378.4</v>
      </c>
      <c r="O32" s="46"/>
    </row>
    <row r="33" customFormat="false" ht="15" hidden="false" customHeight="false" outlineLevel="0" collapsed="false">
      <c r="A33" s="44" t="n">
        <v>530</v>
      </c>
      <c r="B33" s="45" t="n">
        <v>62</v>
      </c>
      <c r="C33" s="46" t="n">
        <v>665.8</v>
      </c>
      <c r="D33" s="46" t="n">
        <v>655.8</v>
      </c>
      <c r="E33" s="46" t="n">
        <v>714.6</v>
      </c>
      <c r="F33" s="46" t="n">
        <v>5314.4</v>
      </c>
      <c r="G33" s="45" t="n">
        <v>24.77</v>
      </c>
      <c r="H33" s="46" t="n">
        <v>6503.3</v>
      </c>
      <c r="I33" s="46" t="n">
        <v>10930</v>
      </c>
      <c r="J33" s="46" t="n">
        <v>10390.3</v>
      </c>
      <c r="K33" s="46" t="n">
        <v>539.7</v>
      </c>
      <c r="L33" s="47" t="n">
        <v>0</v>
      </c>
      <c r="M33" s="47" t="n">
        <v>0</v>
      </c>
      <c r="N33" s="46" t="n">
        <v>3491</v>
      </c>
      <c r="O33" s="46"/>
    </row>
    <row r="34" customFormat="false" ht="15" hidden="false" customHeight="false" outlineLevel="0" collapsed="false">
      <c r="A34" s="44" t="n">
        <v>547</v>
      </c>
      <c r="B34" s="45" t="n">
        <v>64</v>
      </c>
      <c r="C34" s="46" t="n">
        <v>661.4</v>
      </c>
      <c r="D34" s="46" t="n">
        <v>651.9</v>
      </c>
      <c r="E34" s="46" t="n">
        <v>715.6</v>
      </c>
      <c r="F34" s="46" t="n">
        <v>5315.4</v>
      </c>
      <c r="G34" s="45" t="n">
        <v>24.86</v>
      </c>
      <c r="H34" s="46" t="n">
        <v>6480.5</v>
      </c>
      <c r="I34" s="46" t="n">
        <v>10886.4</v>
      </c>
      <c r="J34" s="46" t="n">
        <v>10344.8</v>
      </c>
      <c r="K34" s="46" t="n">
        <v>541.6</v>
      </c>
      <c r="L34" s="47" t="n">
        <v>0</v>
      </c>
      <c r="M34" s="47" t="n">
        <v>0</v>
      </c>
      <c r="N34" s="46" t="n">
        <v>3603.6</v>
      </c>
      <c r="O34" s="46"/>
    </row>
    <row r="35" customFormat="false" ht="15" hidden="false" customHeight="false" outlineLevel="0" collapsed="false">
      <c r="A35" s="44" t="n">
        <v>564</v>
      </c>
      <c r="B35" s="45" t="n">
        <v>66</v>
      </c>
      <c r="C35" s="46" t="n">
        <v>657.1</v>
      </c>
      <c r="D35" s="46" t="n">
        <v>648</v>
      </c>
      <c r="E35" s="46" t="n">
        <v>716.5</v>
      </c>
      <c r="F35" s="46" t="n">
        <v>5316.4</v>
      </c>
      <c r="G35" s="45" t="n">
        <v>24.95</v>
      </c>
      <c r="H35" s="46" t="n">
        <v>6457.7</v>
      </c>
      <c r="I35" s="46" t="n">
        <v>10842.8</v>
      </c>
      <c r="J35" s="46" t="n">
        <v>10299.3</v>
      </c>
      <c r="K35" s="46" t="n">
        <v>543.5</v>
      </c>
      <c r="L35" s="47" t="n">
        <v>0</v>
      </c>
      <c r="M35" s="47" t="n">
        <v>0</v>
      </c>
      <c r="N35" s="46" t="n">
        <v>3716.2</v>
      </c>
      <c r="O35" s="46"/>
    </row>
    <row r="36" customFormat="false" ht="15" hidden="false" customHeight="false" outlineLevel="0" collapsed="false">
      <c r="A36" s="44" t="n">
        <v>581</v>
      </c>
      <c r="B36" s="45" t="n">
        <v>68</v>
      </c>
      <c r="C36" s="46" t="n">
        <v>652.8</v>
      </c>
      <c r="D36" s="46" t="n">
        <v>644.1</v>
      </c>
      <c r="E36" s="46" t="n">
        <v>717.5</v>
      </c>
      <c r="F36" s="46" t="n">
        <v>5317.4</v>
      </c>
      <c r="G36" s="45" t="n">
        <v>25.04</v>
      </c>
      <c r="H36" s="46" t="n">
        <v>6434.9</v>
      </c>
      <c r="I36" s="46" t="n">
        <v>10799.3</v>
      </c>
      <c r="J36" s="46" t="n">
        <v>10253.8</v>
      </c>
      <c r="K36" s="46" t="n">
        <v>545.4</v>
      </c>
      <c r="L36" s="47" t="n">
        <v>0</v>
      </c>
      <c r="M36" s="47" t="n">
        <v>0</v>
      </c>
      <c r="N36" s="46" t="n">
        <v>3828.8</v>
      </c>
      <c r="O36" s="46"/>
    </row>
    <row r="37" customFormat="false" ht="15" hidden="false" customHeight="false" outlineLevel="0" collapsed="false">
      <c r="A37" s="44" t="n">
        <v>598</v>
      </c>
      <c r="B37" s="45" t="n">
        <v>70</v>
      </c>
      <c r="C37" s="46" t="n">
        <v>648.4</v>
      </c>
      <c r="D37" s="46" t="n">
        <v>640.2</v>
      </c>
      <c r="E37" s="46" t="n">
        <v>718.5</v>
      </c>
      <c r="F37" s="46" t="n">
        <v>5318.4</v>
      </c>
      <c r="G37" s="45" t="n">
        <v>25.13</v>
      </c>
      <c r="H37" s="46" t="n">
        <v>6412.1</v>
      </c>
      <c r="I37" s="46" t="n">
        <v>10755.7</v>
      </c>
      <c r="J37" s="46" t="n">
        <v>10208.3</v>
      </c>
      <c r="K37" s="46" t="n">
        <v>547.4</v>
      </c>
      <c r="L37" s="47" t="n">
        <v>0</v>
      </c>
      <c r="M37" s="47" t="n">
        <v>0</v>
      </c>
      <c r="N37" s="46" t="n">
        <v>3941.4</v>
      </c>
      <c r="O37" s="46"/>
    </row>
    <row r="38" customFormat="false" ht="15" hidden="false" customHeight="false" outlineLevel="0" collapsed="false">
      <c r="A38" s="44" t="n">
        <v>615</v>
      </c>
      <c r="B38" s="45" t="n">
        <v>72</v>
      </c>
      <c r="C38" s="46" t="n">
        <v>644.1</v>
      </c>
      <c r="D38" s="46" t="n">
        <v>636.3</v>
      </c>
      <c r="E38" s="46" t="n">
        <v>719.5</v>
      </c>
      <c r="F38" s="46" t="n">
        <v>5319.4</v>
      </c>
      <c r="G38" s="45" t="n">
        <v>25.21</v>
      </c>
      <c r="H38" s="46" t="n">
        <v>6389.3</v>
      </c>
      <c r="I38" s="46" t="n">
        <v>10712.1</v>
      </c>
      <c r="J38" s="46" t="n">
        <v>10162.8</v>
      </c>
      <c r="K38" s="46" t="n">
        <v>549.3</v>
      </c>
      <c r="L38" s="47" t="n">
        <v>0</v>
      </c>
      <c r="M38" s="47" t="n">
        <v>0</v>
      </c>
      <c r="N38" s="46" t="n">
        <v>4054.1</v>
      </c>
      <c r="O38" s="46"/>
    </row>
    <row r="39" customFormat="false" ht="15" hidden="false" customHeight="false" outlineLevel="0" collapsed="false">
      <c r="A39" s="44" t="n">
        <v>632</v>
      </c>
      <c r="B39" s="45" t="n">
        <v>74</v>
      </c>
      <c r="C39" s="46" t="n">
        <v>639.8</v>
      </c>
      <c r="D39" s="46" t="n">
        <v>632.4</v>
      </c>
      <c r="E39" s="46" t="n">
        <v>720.5</v>
      </c>
      <c r="F39" s="46" t="n">
        <v>5320.4</v>
      </c>
      <c r="G39" s="45" t="n">
        <v>25.3</v>
      </c>
      <c r="H39" s="46" t="n">
        <v>6366.6</v>
      </c>
      <c r="I39" s="46" t="n">
        <v>10668.5</v>
      </c>
      <c r="J39" s="46" t="n">
        <v>10117.2</v>
      </c>
      <c r="K39" s="46" t="n">
        <v>551.3</v>
      </c>
      <c r="L39" s="47" t="n">
        <v>0</v>
      </c>
      <c r="M39" s="47" t="n">
        <v>0</v>
      </c>
      <c r="N39" s="46" t="n">
        <v>4166.7</v>
      </c>
      <c r="O39" s="46"/>
    </row>
    <row r="40" customFormat="false" ht="15" hidden="false" customHeight="false" outlineLevel="0" collapsed="false">
      <c r="A40" s="44" t="n">
        <v>649</v>
      </c>
      <c r="B40" s="45" t="n">
        <v>76</v>
      </c>
      <c r="C40" s="46" t="n">
        <v>635.5</v>
      </c>
      <c r="D40" s="46" t="n">
        <v>628.5</v>
      </c>
      <c r="E40" s="46" t="n">
        <v>721.5</v>
      </c>
      <c r="F40" s="46" t="n">
        <v>5321.4</v>
      </c>
      <c r="G40" s="45" t="n">
        <v>25.4</v>
      </c>
      <c r="H40" s="46" t="n">
        <v>6343.8</v>
      </c>
      <c r="I40" s="46" t="n">
        <v>10625</v>
      </c>
      <c r="J40" s="46" t="n">
        <v>10071.7</v>
      </c>
      <c r="K40" s="46" t="n">
        <v>553.3</v>
      </c>
      <c r="L40" s="47" t="n">
        <v>0</v>
      </c>
      <c r="M40" s="47" t="n">
        <v>0</v>
      </c>
      <c r="N40" s="46" t="n">
        <v>4279.3</v>
      </c>
      <c r="O40" s="46"/>
    </row>
    <row r="41" customFormat="false" ht="15" hidden="false" customHeight="false" outlineLevel="0" collapsed="false">
      <c r="A41" s="44" t="n">
        <v>666</v>
      </c>
      <c r="B41" s="45" t="n">
        <v>78</v>
      </c>
      <c r="C41" s="46" t="n">
        <v>631.1</v>
      </c>
      <c r="D41" s="46" t="n">
        <v>624.6</v>
      </c>
      <c r="E41" s="46" t="n">
        <v>722.5</v>
      </c>
      <c r="F41" s="46" t="n">
        <v>5322.3</v>
      </c>
      <c r="G41" s="45" t="n">
        <v>25.49</v>
      </c>
      <c r="H41" s="46" t="n">
        <v>6321.1</v>
      </c>
      <c r="I41" s="46" t="n">
        <v>10581.4</v>
      </c>
      <c r="J41" s="46" t="n">
        <v>10026.1</v>
      </c>
      <c r="K41" s="46" t="n">
        <v>555.3</v>
      </c>
      <c r="L41" s="47" t="n">
        <v>0</v>
      </c>
      <c r="M41" s="47" t="n">
        <v>0</v>
      </c>
      <c r="N41" s="46" t="n">
        <v>4391.9</v>
      </c>
      <c r="O41" s="46"/>
    </row>
    <row r="42" customFormat="false" ht="15" hidden="false" customHeight="false" outlineLevel="0" collapsed="false">
      <c r="A42" s="44" t="n">
        <v>684</v>
      </c>
      <c r="B42" s="45" t="n">
        <v>80</v>
      </c>
      <c r="C42" s="46" t="n">
        <v>626.8</v>
      </c>
      <c r="D42" s="46" t="n">
        <v>620.7</v>
      </c>
      <c r="E42" s="46" t="n">
        <v>723.5</v>
      </c>
      <c r="F42" s="46" t="n">
        <v>5323.4</v>
      </c>
      <c r="G42" s="45" t="n">
        <v>25.58</v>
      </c>
      <c r="H42" s="46" t="n">
        <v>6298.3</v>
      </c>
      <c r="I42" s="46" t="n">
        <v>10537.8</v>
      </c>
      <c r="J42" s="46" t="n">
        <v>9980.5</v>
      </c>
      <c r="K42" s="46" t="n">
        <v>557.3</v>
      </c>
      <c r="L42" s="47" t="n">
        <v>0</v>
      </c>
      <c r="M42" s="47" t="n">
        <v>0</v>
      </c>
      <c r="N42" s="46" t="n">
        <v>4504.5</v>
      </c>
      <c r="O42" s="46"/>
    </row>
    <row r="43" customFormat="false" ht="15" hidden="false" customHeight="false" outlineLevel="0" collapsed="false">
      <c r="A43" s="44" t="n">
        <v>701</v>
      </c>
      <c r="B43" s="45" t="n">
        <v>82</v>
      </c>
      <c r="C43" s="46" t="n">
        <v>622.5</v>
      </c>
      <c r="D43" s="46" t="n">
        <v>616.8</v>
      </c>
      <c r="E43" s="46" t="n">
        <v>724.5</v>
      </c>
      <c r="F43" s="46" t="n">
        <v>5324.4</v>
      </c>
      <c r="G43" s="45" t="n">
        <v>25.67</v>
      </c>
      <c r="H43" s="46" t="n">
        <v>6275.6</v>
      </c>
      <c r="I43" s="46" t="n">
        <v>10494.2</v>
      </c>
      <c r="J43" s="46" t="n">
        <v>9934.9</v>
      </c>
      <c r="K43" s="46" t="n">
        <v>559.3</v>
      </c>
      <c r="L43" s="47" t="n">
        <v>0</v>
      </c>
      <c r="M43" s="47" t="n">
        <v>0</v>
      </c>
      <c r="N43" s="46" t="n">
        <v>4617.1</v>
      </c>
      <c r="O43" s="46"/>
    </row>
    <row r="44" customFormat="false" ht="15" hidden="false" customHeight="false" outlineLevel="0" collapsed="false">
      <c r="A44" s="44" t="n">
        <v>718</v>
      </c>
      <c r="B44" s="45" t="n">
        <v>84</v>
      </c>
      <c r="C44" s="46" t="n">
        <v>618.1</v>
      </c>
      <c r="D44" s="46" t="n">
        <v>612.9</v>
      </c>
      <c r="E44" s="46" t="n">
        <v>725.6</v>
      </c>
      <c r="F44" s="46" t="n">
        <v>5325.4</v>
      </c>
      <c r="G44" s="45" t="n">
        <v>25.77</v>
      </c>
      <c r="H44" s="46" t="n">
        <v>6252.8</v>
      </c>
      <c r="I44" s="46" t="n">
        <v>10450.7</v>
      </c>
      <c r="J44" s="46" t="n">
        <v>9889.3</v>
      </c>
      <c r="K44" s="46" t="n">
        <v>561.3</v>
      </c>
      <c r="L44" s="47" t="n">
        <v>0</v>
      </c>
      <c r="M44" s="47" t="n">
        <v>0</v>
      </c>
      <c r="N44" s="46" t="n">
        <v>4729.7</v>
      </c>
      <c r="O44" s="46"/>
    </row>
    <row r="45" customFormat="false" ht="15" hidden="false" customHeight="false" outlineLevel="0" collapsed="false">
      <c r="A45" s="44" t="n">
        <v>735</v>
      </c>
      <c r="B45" s="45" t="n">
        <v>86</v>
      </c>
      <c r="C45" s="46" t="n">
        <v>613.8</v>
      </c>
      <c r="D45" s="46" t="n">
        <v>609</v>
      </c>
      <c r="E45" s="46" t="n">
        <v>726.6</v>
      </c>
      <c r="F45" s="46" t="n">
        <v>5326.5</v>
      </c>
      <c r="G45" s="45" t="n">
        <v>25.86</v>
      </c>
      <c r="H45" s="46" t="n">
        <v>6230.1</v>
      </c>
      <c r="I45" s="46" t="n">
        <v>10407.1</v>
      </c>
      <c r="J45" s="46" t="n">
        <v>9843.7</v>
      </c>
      <c r="K45" s="46" t="n">
        <v>563.4</v>
      </c>
      <c r="L45" s="47" t="n">
        <v>0</v>
      </c>
      <c r="M45" s="47" t="n">
        <v>0</v>
      </c>
      <c r="N45" s="46" t="n">
        <v>4842.3</v>
      </c>
      <c r="O45" s="46"/>
    </row>
    <row r="46" customFormat="false" ht="15" hidden="false" customHeight="false" outlineLevel="0" collapsed="false">
      <c r="A46" s="44" t="n">
        <v>752</v>
      </c>
      <c r="B46" s="45" t="n">
        <v>88</v>
      </c>
      <c r="C46" s="46" t="n">
        <v>609.5</v>
      </c>
      <c r="D46" s="46" t="n">
        <v>605.1</v>
      </c>
      <c r="E46" s="46" t="n">
        <v>727.7</v>
      </c>
      <c r="F46" s="46" t="n">
        <v>5327.5</v>
      </c>
      <c r="G46" s="45" t="n">
        <v>25.95</v>
      </c>
      <c r="H46" s="46" t="n">
        <v>6207.3</v>
      </c>
      <c r="I46" s="46" t="n">
        <v>10363.5</v>
      </c>
      <c r="J46" s="46" t="n">
        <v>9798.1</v>
      </c>
      <c r="K46" s="46" t="n">
        <v>565.4</v>
      </c>
      <c r="L46" s="47" t="n">
        <v>0</v>
      </c>
      <c r="M46" s="47" t="n">
        <v>0</v>
      </c>
      <c r="N46" s="46" t="n">
        <v>4955</v>
      </c>
      <c r="O46" s="46"/>
    </row>
    <row r="47" customFormat="false" ht="15" hidden="false" customHeight="false" outlineLevel="0" collapsed="false">
      <c r="A47" s="44" t="n">
        <v>769</v>
      </c>
      <c r="B47" s="45" t="n">
        <v>90</v>
      </c>
      <c r="C47" s="46" t="n">
        <v>605.1</v>
      </c>
      <c r="D47" s="46" t="n">
        <v>601.2</v>
      </c>
      <c r="E47" s="46" t="n">
        <v>728.7</v>
      </c>
      <c r="F47" s="46" t="n">
        <v>5328.5</v>
      </c>
      <c r="G47" s="45" t="n">
        <v>26.05</v>
      </c>
      <c r="H47" s="46" t="n">
        <v>6184.6</v>
      </c>
      <c r="I47" s="46" t="n">
        <v>10320</v>
      </c>
      <c r="J47" s="46" t="n">
        <v>9752.4</v>
      </c>
      <c r="K47" s="46" t="n">
        <v>567.5</v>
      </c>
      <c r="L47" s="47" t="n">
        <v>0</v>
      </c>
      <c r="M47" s="47" t="n">
        <v>0</v>
      </c>
      <c r="N47" s="46" t="n">
        <v>5067.6</v>
      </c>
      <c r="O47" s="46"/>
    </row>
    <row r="48" customFormat="false" ht="15" hidden="false" customHeight="false" outlineLevel="0" collapsed="false">
      <c r="A48" s="44" t="n">
        <v>786</v>
      </c>
      <c r="B48" s="45" t="n">
        <v>92</v>
      </c>
      <c r="C48" s="46" t="n">
        <v>600.8</v>
      </c>
      <c r="D48" s="46" t="n">
        <v>597.3</v>
      </c>
      <c r="E48" s="46" t="n">
        <v>729.7</v>
      </c>
      <c r="F48" s="46" t="n">
        <v>5329.6</v>
      </c>
      <c r="G48" s="45" t="n">
        <v>26.15</v>
      </c>
      <c r="H48" s="46" t="n">
        <v>6161.8</v>
      </c>
      <c r="I48" s="46" t="n">
        <v>10276.4</v>
      </c>
      <c r="J48" s="46" t="n">
        <v>9706.8</v>
      </c>
      <c r="K48" s="46" t="n">
        <v>569.6</v>
      </c>
      <c r="L48" s="47" t="n">
        <v>0</v>
      </c>
      <c r="M48" s="47" t="n">
        <v>0</v>
      </c>
      <c r="N48" s="46" t="n">
        <v>5180.2</v>
      </c>
      <c r="O48" s="46"/>
    </row>
    <row r="49" customFormat="false" ht="15" hidden="false" customHeight="false" outlineLevel="0" collapsed="false">
      <c r="A49" s="44" t="n">
        <v>803</v>
      </c>
      <c r="B49" s="45" t="n">
        <v>94</v>
      </c>
      <c r="C49" s="46" t="n">
        <v>596.5</v>
      </c>
      <c r="D49" s="46" t="n">
        <v>593.5</v>
      </c>
      <c r="E49" s="46" t="n">
        <v>730.8</v>
      </c>
      <c r="F49" s="46" t="n">
        <v>5330.6</v>
      </c>
      <c r="G49" s="45" t="n">
        <v>26.24</v>
      </c>
      <c r="H49" s="46" t="n">
        <v>6139.1</v>
      </c>
      <c r="I49" s="46" t="n">
        <v>10232.8</v>
      </c>
      <c r="J49" s="46" t="n">
        <v>9661.1</v>
      </c>
      <c r="K49" s="46" t="n">
        <v>571.7</v>
      </c>
      <c r="L49" s="47" t="n">
        <v>0</v>
      </c>
      <c r="M49" s="47" t="n">
        <v>0</v>
      </c>
      <c r="N49" s="46" t="n">
        <v>5292.8</v>
      </c>
      <c r="O49" s="46"/>
    </row>
    <row r="50" customFormat="false" ht="15" hidden="false" customHeight="false" outlineLevel="0" collapsed="false">
      <c r="A50" s="44" t="n">
        <v>820</v>
      </c>
      <c r="B50" s="45" t="n">
        <v>96</v>
      </c>
      <c r="C50" s="46" t="n">
        <v>592.2</v>
      </c>
      <c r="D50" s="46" t="n">
        <v>589.6</v>
      </c>
      <c r="E50" s="46" t="n">
        <v>731.9</v>
      </c>
      <c r="F50" s="46" t="n">
        <v>5331.7</v>
      </c>
      <c r="G50" s="45" t="n">
        <v>26.34</v>
      </c>
      <c r="H50" s="46" t="n">
        <v>6116.3</v>
      </c>
      <c r="I50" s="46" t="n">
        <v>10189.2</v>
      </c>
      <c r="J50" s="46" t="n">
        <v>9615.4</v>
      </c>
      <c r="K50" s="46" t="n">
        <v>573.9</v>
      </c>
      <c r="L50" s="47" t="n">
        <v>0</v>
      </c>
      <c r="M50" s="47" t="n">
        <v>0</v>
      </c>
      <c r="N50" s="46" t="n">
        <v>5405.4</v>
      </c>
      <c r="O50" s="46"/>
    </row>
    <row r="51" customFormat="false" ht="15" hidden="false" customHeight="false" outlineLevel="0" collapsed="false">
      <c r="A51" s="44" t="n">
        <v>837</v>
      </c>
      <c r="B51" s="45" t="n">
        <v>98</v>
      </c>
      <c r="C51" s="46" t="n">
        <v>587.8</v>
      </c>
      <c r="D51" s="46" t="n">
        <v>585.7</v>
      </c>
      <c r="E51" s="46" t="n">
        <v>733</v>
      </c>
      <c r="F51" s="46" t="n">
        <v>5332.9</v>
      </c>
      <c r="G51" s="45" t="n">
        <v>26.44</v>
      </c>
      <c r="H51" s="46" t="n">
        <v>6093.5</v>
      </c>
      <c r="I51" s="46" t="n">
        <v>10145.7</v>
      </c>
      <c r="J51" s="46" t="n">
        <v>9569.7</v>
      </c>
      <c r="K51" s="46" t="n">
        <v>576</v>
      </c>
      <c r="L51" s="47" t="n">
        <v>0</v>
      </c>
      <c r="M51" s="47" t="n">
        <v>0</v>
      </c>
      <c r="N51" s="46" t="n">
        <v>5518</v>
      </c>
      <c r="O51" s="46"/>
    </row>
    <row r="52" customFormat="false" ht="15" hidden="false" customHeight="false" outlineLevel="0" collapsed="false">
      <c r="A52" s="44" t="n">
        <v>854</v>
      </c>
      <c r="B52" s="45" t="n">
        <v>100</v>
      </c>
      <c r="C52" s="46" t="n">
        <v>583.5</v>
      </c>
      <c r="D52" s="46" t="n">
        <v>581.8</v>
      </c>
      <c r="E52" s="46" t="n">
        <v>734.2</v>
      </c>
      <c r="F52" s="46" t="n">
        <v>5334</v>
      </c>
      <c r="G52" s="45" t="n">
        <v>26.54</v>
      </c>
      <c r="H52" s="46" t="n">
        <v>6070.8</v>
      </c>
      <c r="I52" s="46" t="n">
        <v>10102.1</v>
      </c>
      <c r="J52" s="46" t="n">
        <v>9523.9</v>
      </c>
      <c r="K52" s="46" t="n">
        <v>578.2</v>
      </c>
      <c r="L52" s="47" t="n">
        <v>0</v>
      </c>
      <c r="M52" s="47" t="n">
        <v>0</v>
      </c>
      <c r="N52" s="46" t="n">
        <v>5630.6</v>
      </c>
      <c r="O52" s="46"/>
    </row>
    <row r="53" customFormat="false" ht="15" hidden="false" customHeight="false" outlineLevel="0" collapsed="false">
      <c r="A53" s="44" t="n">
        <v>871</v>
      </c>
      <c r="B53" s="45" t="n">
        <v>102</v>
      </c>
      <c r="C53" s="46" t="n">
        <v>579.2</v>
      </c>
      <c r="D53" s="46" t="n">
        <v>577.9</v>
      </c>
      <c r="E53" s="46" t="n">
        <v>735.4</v>
      </c>
      <c r="F53" s="46" t="n">
        <v>5335.2</v>
      </c>
      <c r="G53" s="45" t="n">
        <v>26.64</v>
      </c>
      <c r="H53" s="46" t="n">
        <v>6048.1</v>
      </c>
      <c r="I53" s="46" t="n">
        <v>10058.5</v>
      </c>
      <c r="J53" s="46" t="n">
        <v>9478.2</v>
      </c>
      <c r="K53" s="46" t="n">
        <v>580.3</v>
      </c>
      <c r="L53" s="47" t="n">
        <v>0</v>
      </c>
      <c r="M53" s="47" t="n">
        <v>0</v>
      </c>
      <c r="N53" s="46" t="n">
        <v>5743.2</v>
      </c>
      <c r="O53" s="46"/>
    </row>
    <row r="54" customFormat="false" ht="15" hidden="false" customHeight="false" outlineLevel="0" collapsed="false">
      <c r="A54" s="44" t="n">
        <v>889</v>
      </c>
      <c r="B54" s="45" t="n">
        <v>104</v>
      </c>
      <c r="C54" s="46" t="n">
        <v>574.8</v>
      </c>
      <c r="D54" s="46" t="n">
        <v>574</v>
      </c>
      <c r="E54" s="46" t="n">
        <v>736.6</v>
      </c>
      <c r="F54" s="46" t="n">
        <v>5336.4</v>
      </c>
      <c r="G54" s="45" t="n">
        <v>26.74</v>
      </c>
      <c r="H54" s="46" t="n">
        <v>6025.4</v>
      </c>
      <c r="I54" s="46" t="n">
        <v>10014.9</v>
      </c>
      <c r="J54" s="46" t="n">
        <v>9432.4</v>
      </c>
      <c r="K54" s="46" t="n">
        <v>582.5</v>
      </c>
      <c r="L54" s="47" t="n">
        <v>0</v>
      </c>
      <c r="M54" s="47" t="n">
        <v>0</v>
      </c>
      <c r="N54" s="46" t="n">
        <v>5855.9</v>
      </c>
      <c r="O54" s="46"/>
    </row>
    <row r="55" customFormat="false" ht="15" hidden="false" customHeight="false" outlineLevel="0" collapsed="false">
      <c r="A55" s="44" t="n">
        <v>906</v>
      </c>
      <c r="B55" s="45" t="n">
        <v>106</v>
      </c>
      <c r="C55" s="46" t="n">
        <v>570.5</v>
      </c>
      <c r="D55" s="46" t="n">
        <v>570.1</v>
      </c>
      <c r="E55" s="46" t="n">
        <v>737.7</v>
      </c>
      <c r="F55" s="46" t="n">
        <v>5337.6</v>
      </c>
      <c r="G55" s="45" t="n">
        <v>26.84</v>
      </c>
      <c r="H55" s="46" t="n">
        <v>6002.7</v>
      </c>
      <c r="I55" s="46" t="n">
        <v>9971.4</v>
      </c>
      <c r="J55" s="46" t="n">
        <v>9386.7</v>
      </c>
      <c r="K55" s="46" t="n">
        <v>584.7</v>
      </c>
      <c r="L55" s="47" t="n">
        <v>0</v>
      </c>
      <c r="M55" s="47" t="n">
        <v>0</v>
      </c>
      <c r="N55" s="46" t="n">
        <v>5968.5</v>
      </c>
      <c r="O55" s="46"/>
    </row>
    <row r="56" customFormat="false" ht="15" hidden="false" customHeight="false" outlineLevel="0" collapsed="false">
      <c r="A56" s="44" t="n">
        <v>923</v>
      </c>
      <c r="B56" s="45" t="n">
        <v>108</v>
      </c>
      <c r="C56" s="46" t="n">
        <v>566.2</v>
      </c>
      <c r="D56" s="46" t="n">
        <v>566.2</v>
      </c>
      <c r="E56" s="46" t="n">
        <v>738.9</v>
      </c>
      <c r="F56" s="46" t="n">
        <v>5338.7</v>
      </c>
      <c r="G56" s="45" t="n">
        <v>26.94</v>
      </c>
      <c r="H56" s="46" t="n">
        <v>5980</v>
      </c>
      <c r="I56" s="46" t="n">
        <v>9927.8</v>
      </c>
      <c r="J56" s="46" t="n">
        <v>9340.9</v>
      </c>
      <c r="K56" s="46" t="n">
        <v>586.9</v>
      </c>
      <c r="L56" s="47" t="n">
        <v>0</v>
      </c>
      <c r="M56" s="47" t="n">
        <v>0</v>
      </c>
      <c r="N56" s="46" t="n">
        <v>6081.1</v>
      </c>
      <c r="O56" s="46"/>
    </row>
    <row r="57" customFormat="false" ht="15" hidden="false" customHeight="false" outlineLevel="0" collapsed="false">
      <c r="A57" s="44" t="n">
        <v>940</v>
      </c>
      <c r="B57" s="45" t="n">
        <v>110</v>
      </c>
      <c r="C57" s="46" t="n">
        <v>561.8</v>
      </c>
      <c r="D57" s="46" t="n">
        <v>562.3</v>
      </c>
      <c r="E57" s="46" t="n">
        <v>740</v>
      </c>
      <c r="F57" s="46" t="n">
        <v>5339.8</v>
      </c>
      <c r="G57" s="45" t="n">
        <v>27.04</v>
      </c>
      <c r="H57" s="46" t="n">
        <v>5957.3</v>
      </c>
      <c r="I57" s="46" t="n">
        <v>9884.2</v>
      </c>
      <c r="J57" s="46" t="n">
        <v>9295</v>
      </c>
      <c r="K57" s="46" t="n">
        <v>589.2</v>
      </c>
      <c r="L57" s="47" t="n">
        <v>0</v>
      </c>
      <c r="M57" s="47" t="n">
        <v>0</v>
      </c>
      <c r="N57" s="46" t="n">
        <v>6193.7</v>
      </c>
      <c r="O57" s="46"/>
    </row>
    <row r="58" customFormat="false" ht="15" hidden="false" customHeight="false" outlineLevel="0" collapsed="false">
      <c r="A58" s="44" t="n">
        <v>957</v>
      </c>
      <c r="B58" s="45" t="n">
        <v>112</v>
      </c>
      <c r="C58" s="46" t="n">
        <v>557.5</v>
      </c>
      <c r="D58" s="46" t="n">
        <v>558.4</v>
      </c>
      <c r="E58" s="46" t="n">
        <v>741.1</v>
      </c>
      <c r="F58" s="46" t="n">
        <v>5341</v>
      </c>
      <c r="G58" s="45" t="n">
        <v>27.15</v>
      </c>
      <c r="H58" s="46" t="n">
        <v>5934.5</v>
      </c>
      <c r="I58" s="46" t="n">
        <v>9840.7</v>
      </c>
      <c r="J58" s="46" t="n">
        <v>9249.2</v>
      </c>
      <c r="K58" s="46" t="n">
        <v>591.4</v>
      </c>
      <c r="L58" s="47" t="n">
        <v>0</v>
      </c>
      <c r="M58" s="47" t="n">
        <v>0</v>
      </c>
      <c r="N58" s="46" t="n">
        <v>6306.3</v>
      </c>
      <c r="O58" s="46"/>
    </row>
    <row r="59" customFormat="false" ht="15" hidden="false" customHeight="false" outlineLevel="0" collapsed="false">
      <c r="A59" s="44" t="n">
        <v>974</v>
      </c>
      <c r="B59" s="45" t="n">
        <v>114</v>
      </c>
      <c r="C59" s="46" t="n">
        <v>553.2</v>
      </c>
      <c r="D59" s="46" t="n">
        <v>554.5</v>
      </c>
      <c r="E59" s="46" t="n">
        <v>742.3</v>
      </c>
      <c r="F59" s="46" t="n">
        <v>5342.1</v>
      </c>
      <c r="G59" s="45" t="n">
        <v>27.25</v>
      </c>
      <c r="H59" s="46" t="n">
        <v>5911.8</v>
      </c>
      <c r="I59" s="46" t="n">
        <v>9797.1</v>
      </c>
      <c r="J59" s="46" t="n">
        <v>9203.4</v>
      </c>
      <c r="K59" s="46" t="n">
        <v>593.7</v>
      </c>
      <c r="L59" s="47" t="n">
        <v>0</v>
      </c>
      <c r="M59" s="47" t="n">
        <v>0</v>
      </c>
      <c r="N59" s="46" t="n">
        <v>6418.9</v>
      </c>
      <c r="O59" s="46"/>
    </row>
    <row r="60" customFormat="false" ht="15" hidden="false" customHeight="false" outlineLevel="0" collapsed="false">
      <c r="A60" s="44" t="n">
        <v>991</v>
      </c>
      <c r="B60" s="45" t="n">
        <v>116</v>
      </c>
      <c r="C60" s="46" t="n">
        <v>548.8</v>
      </c>
      <c r="D60" s="46" t="n">
        <v>550.6</v>
      </c>
      <c r="E60" s="46" t="n">
        <v>743.5</v>
      </c>
      <c r="F60" s="46" t="n">
        <v>5343.3</v>
      </c>
      <c r="G60" s="45" t="n">
        <v>27.36</v>
      </c>
      <c r="H60" s="46" t="n">
        <v>5889.2</v>
      </c>
      <c r="I60" s="46" t="n">
        <v>9753.5</v>
      </c>
      <c r="J60" s="46" t="n">
        <v>9157.5</v>
      </c>
      <c r="K60" s="46" t="n">
        <v>596</v>
      </c>
      <c r="L60" s="47" t="n">
        <v>0</v>
      </c>
      <c r="M60" s="47" t="n">
        <v>0</v>
      </c>
      <c r="N60" s="46" t="n">
        <v>6531.5</v>
      </c>
      <c r="O60" s="46"/>
    </row>
    <row r="61" customFormat="false" ht="15" hidden="false" customHeight="false" outlineLevel="0" collapsed="false">
      <c r="A61" s="44" t="n">
        <v>1008</v>
      </c>
      <c r="B61" s="45" t="n">
        <v>118</v>
      </c>
      <c r="C61" s="46" t="n">
        <v>544.5</v>
      </c>
      <c r="D61" s="46" t="n">
        <v>546.7</v>
      </c>
      <c r="E61" s="46" t="n">
        <v>744.6</v>
      </c>
      <c r="F61" s="46" t="n">
        <v>5344.5</v>
      </c>
      <c r="G61" s="45" t="n">
        <v>27.46</v>
      </c>
      <c r="H61" s="46" t="n">
        <v>5866.5</v>
      </c>
      <c r="I61" s="46" t="n">
        <v>9709.9</v>
      </c>
      <c r="J61" s="46" t="n">
        <v>9111.6</v>
      </c>
      <c r="K61" s="46" t="n">
        <v>598.3</v>
      </c>
      <c r="L61" s="47" t="n">
        <v>0</v>
      </c>
      <c r="M61" s="47" t="n">
        <v>0</v>
      </c>
      <c r="N61" s="46" t="n">
        <v>6644.1</v>
      </c>
      <c r="O61" s="46"/>
    </row>
    <row r="62" customFormat="false" ht="15" hidden="false" customHeight="false" outlineLevel="0" collapsed="false">
      <c r="A62" s="44" t="n">
        <v>1025</v>
      </c>
      <c r="B62" s="45" t="n">
        <v>120</v>
      </c>
      <c r="C62" s="46" t="n">
        <v>540.2</v>
      </c>
      <c r="D62" s="46" t="n">
        <v>542.8</v>
      </c>
      <c r="E62" s="46" t="n">
        <v>745.8</v>
      </c>
      <c r="F62" s="46" t="n">
        <v>5345.6</v>
      </c>
      <c r="G62" s="45" t="n">
        <v>27.57</v>
      </c>
      <c r="H62" s="46" t="n">
        <v>5843.8</v>
      </c>
      <c r="I62" s="46" t="n">
        <v>9666.4</v>
      </c>
      <c r="J62" s="46" t="n">
        <v>9065.7</v>
      </c>
      <c r="K62" s="46" t="n">
        <v>600.6</v>
      </c>
      <c r="L62" s="47" t="n">
        <v>0</v>
      </c>
      <c r="M62" s="47" t="n">
        <v>0</v>
      </c>
      <c r="N62" s="46" t="n">
        <v>6756.8</v>
      </c>
      <c r="O62" s="46"/>
    </row>
    <row r="63" customFormat="false" ht="15" hidden="false" customHeight="false" outlineLevel="0" collapsed="false">
      <c r="A63" s="44" t="n">
        <v>1042</v>
      </c>
      <c r="B63" s="45" t="n">
        <v>122</v>
      </c>
      <c r="C63" s="46" t="n">
        <v>535.9</v>
      </c>
      <c r="D63" s="46" t="n">
        <v>538.9</v>
      </c>
      <c r="E63" s="46" t="n">
        <v>746.9</v>
      </c>
      <c r="F63" s="46" t="n">
        <v>5346.8</v>
      </c>
      <c r="G63" s="45" t="n">
        <v>27.68</v>
      </c>
      <c r="H63" s="46" t="n">
        <v>5821</v>
      </c>
      <c r="I63" s="46" t="n">
        <v>9622.8</v>
      </c>
      <c r="J63" s="46" t="n">
        <v>9019.8</v>
      </c>
      <c r="K63" s="46" t="n">
        <v>603</v>
      </c>
      <c r="L63" s="47" t="n">
        <v>0</v>
      </c>
      <c r="M63" s="47" t="n">
        <v>0</v>
      </c>
      <c r="N63" s="46" t="n">
        <v>6869.4</v>
      </c>
      <c r="O63" s="46"/>
    </row>
    <row r="64" customFormat="false" ht="15" hidden="false" customHeight="false" outlineLevel="0" collapsed="false">
      <c r="A64" s="44" t="n">
        <v>1059</v>
      </c>
      <c r="B64" s="45" t="n">
        <v>124</v>
      </c>
      <c r="C64" s="46" t="n">
        <v>531.5</v>
      </c>
      <c r="D64" s="46" t="n">
        <v>535</v>
      </c>
      <c r="E64" s="46" t="n">
        <v>748.1</v>
      </c>
      <c r="F64" s="46" t="n">
        <v>5347.9</v>
      </c>
      <c r="G64" s="45" t="n">
        <v>27.79</v>
      </c>
      <c r="H64" s="46" t="n">
        <v>5798.2</v>
      </c>
      <c r="I64" s="46" t="n">
        <v>9579.2</v>
      </c>
      <c r="J64" s="46" t="n">
        <v>8973.9</v>
      </c>
      <c r="K64" s="46" t="n">
        <v>605.3</v>
      </c>
      <c r="L64" s="47" t="n">
        <v>0</v>
      </c>
      <c r="M64" s="47" t="n">
        <v>0</v>
      </c>
      <c r="N64" s="46" t="n">
        <v>6982</v>
      </c>
      <c r="O64" s="46"/>
    </row>
    <row r="65" customFormat="false" ht="15" hidden="false" customHeight="false" outlineLevel="0" collapsed="false">
      <c r="A65" s="44" t="n">
        <v>1077</v>
      </c>
      <c r="B65" s="45" t="n">
        <v>126</v>
      </c>
      <c r="C65" s="46" t="n">
        <v>527.2</v>
      </c>
      <c r="D65" s="46" t="n">
        <v>531.1</v>
      </c>
      <c r="E65" s="46" t="n">
        <v>749.2</v>
      </c>
      <c r="F65" s="46" t="n">
        <v>5349</v>
      </c>
      <c r="G65" s="45" t="n">
        <v>27.89</v>
      </c>
      <c r="H65" s="46" t="n">
        <v>5775.5</v>
      </c>
      <c r="I65" s="46" t="n">
        <v>9535.6</v>
      </c>
      <c r="J65" s="46" t="n">
        <v>8927.9</v>
      </c>
      <c r="K65" s="46" t="n">
        <v>607.7</v>
      </c>
      <c r="L65" s="47" t="n">
        <v>0</v>
      </c>
      <c r="M65" s="47" t="n">
        <v>0</v>
      </c>
      <c r="N65" s="46" t="n">
        <v>7094.6</v>
      </c>
      <c r="O65" s="46"/>
    </row>
    <row r="66" customFormat="false" ht="15" hidden="false" customHeight="false" outlineLevel="0" collapsed="false">
      <c r="A66" s="44" t="n">
        <v>1094</v>
      </c>
      <c r="B66" s="45" t="n">
        <v>128</v>
      </c>
      <c r="C66" s="46" t="n">
        <v>522.9</v>
      </c>
      <c r="D66" s="46" t="n">
        <v>527.2</v>
      </c>
      <c r="E66" s="46" t="n">
        <v>750.4</v>
      </c>
      <c r="F66" s="46" t="n">
        <v>5350.2</v>
      </c>
      <c r="G66" s="45" t="n">
        <v>28.01</v>
      </c>
      <c r="H66" s="46" t="n">
        <v>5752.7</v>
      </c>
      <c r="I66" s="46" t="n">
        <v>9492.1</v>
      </c>
      <c r="J66" s="46" t="n">
        <v>8881.9</v>
      </c>
      <c r="K66" s="46" t="n">
        <v>610.1</v>
      </c>
      <c r="L66" s="47" t="n">
        <v>0</v>
      </c>
      <c r="M66" s="47" t="n">
        <v>0</v>
      </c>
      <c r="N66" s="46" t="n">
        <v>7207.2</v>
      </c>
      <c r="O66" s="46"/>
    </row>
    <row r="67" customFormat="false" ht="15" hidden="false" customHeight="false" outlineLevel="0" collapsed="false">
      <c r="A67" s="44" t="n">
        <v>1111</v>
      </c>
      <c r="B67" s="45" t="n">
        <v>130</v>
      </c>
      <c r="C67" s="46" t="n">
        <v>518.5</v>
      </c>
      <c r="D67" s="46" t="n">
        <v>523.3</v>
      </c>
      <c r="E67" s="46" t="n">
        <v>751.6</v>
      </c>
      <c r="F67" s="46" t="n">
        <v>5351.4</v>
      </c>
      <c r="G67" s="45" t="n">
        <v>28.12</v>
      </c>
      <c r="H67" s="46" t="n">
        <v>5729.9</v>
      </c>
      <c r="I67" s="46" t="n">
        <v>9448.5</v>
      </c>
      <c r="J67" s="46" t="n">
        <v>8835.9</v>
      </c>
      <c r="K67" s="46" t="n">
        <v>612.6</v>
      </c>
      <c r="L67" s="47" t="n">
        <v>0</v>
      </c>
      <c r="M67" s="47" t="n">
        <v>0</v>
      </c>
      <c r="N67" s="46" t="n">
        <v>7319.8</v>
      </c>
      <c r="O67" s="46"/>
    </row>
    <row r="68" customFormat="false" ht="15" hidden="false" customHeight="false" outlineLevel="0" collapsed="false">
      <c r="A68" s="44" t="n">
        <v>1128</v>
      </c>
      <c r="B68" s="45" t="n">
        <v>132</v>
      </c>
      <c r="C68" s="46" t="n">
        <v>514.2</v>
      </c>
      <c r="D68" s="46" t="n">
        <v>519.4</v>
      </c>
      <c r="E68" s="46" t="n">
        <v>752.8</v>
      </c>
      <c r="F68" s="46" t="n">
        <v>5352.7</v>
      </c>
      <c r="G68" s="45" t="n">
        <v>28.23</v>
      </c>
      <c r="H68" s="46" t="n">
        <v>5707.2</v>
      </c>
      <c r="I68" s="46" t="n">
        <v>9404.9</v>
      </c>
      <c r="J68" s="46" t="n">
        <v>8789.9</v>
      </c>
      <c r="K68" s="46" t="n">
        <v>615</v>
      </c>
      <c r="L68" s="47" t="n">
        <v>0</v>
      </c>
      <c r="M68" s="47" t="n">
        <v>0</v>
      </c>
      <c r="N68" s="46" t="n">
        <v>7432.4</v>
      </c>
      <c r="O68" s="46"/>
    </row>
    <row r="69" customFormat="false" ht="15" hidden="false" customHeight="false" outlineLevel="0" collapsed="false">
      <c r="A69" s="44" t="n">
        <v>1145</v>
      </c>
      <c r="B69" s="45" t="n">
        <v>134</v>
      </c>
      <c r="C69" s="46" t="n">
        <v>509.9</v>
      </c>
      <c r="D69" s="46" t="n">
        <v>515.5</v>
      </c>
      <c r="E69" s="46" t="n">
        <v>754.1</v>
      </c>
      <c r="F69" s="46" t="n">
        <v>5354</v>
      </c>
      <c r="G69" s="45" t="n">
        <v>28.34</v>
      </c>
      <c r="H69" s="46" t="n">
        <v>5684.5</v>
      </c>
      <c r="I69" s="46" t="n">
        <v>9361.4</v>
      </c>
      <c r="J69" s="46" t="n">
        <v>8743.9</v>
      </c>
      <c r="K69" s="46" t="n">
        <v>617.4</v>
      </c>
      <c r="L69" s="47" t="n">
        <v>0</v>
      </c>
      <c r="M69" s="47" t="n">
        <v>0</v>
      </c>
      <c r="N69" s="46" t="n">
        <v>7545</v>
      </c>
      <c r="O69" s="46"/>
    </row>
    <row r="70" customFormat="false" ht="15" hidden="false" customHeight="false" outlineLevel="0" collapsed="false">
      <c r="A70" s="44" t="n">
        <v>1162</v>
      </c>
      <c r="B70" s="45" t="n">
        <v>136</v>
      </c>
      <c r="C70" s="46" t="n">
        <v>505.5</v>
      </c>
      <c r="D70" s="46" t="n">
        <v>511.6</v>
      </c>
      <c r="E70" s="46" t="n">
        <v>755.4</v>
      </c>
      <c r="F70" s="46" t="n">
        <v>5355.3</v>
      </c>
      <c r="G70" s="45" t="n">
        <v>28.45</v>
      </c>
      <c r="H70" s="46" t="n">
        <v>5661.8</v>
      </c>
      <c r="I70" s="46" t="n">
        <v>9317.8</v>
      </c>
      <c r="J70" s="46" t="n">
        <v>8697.9</v>
      </c>
      <c r="K70" s="46" t="n">
        <v>619.9</v>
      </c>
      <c r="L70" s="47" t="n">
        <v>0</v>
      </c>
      <c r="M70" s="47" t="n">
        <v>0</v>
      </c>
      <c r="N70" s="46" t="n">
        <v>7657.7</v>
      </c>
      <c r="O70" s="46"/>
    </row>
    <row r="71" customFormat="false" ht="15" hidden="false" customHeight="false" outlineLevel="0" collapsed="false">
      <c r="A71" s="44" t="n">
        <v>1179</v>
      </c>
      <c r="B71" s="45" t="n">
        <v>138</v>
      </c>
      <c r="C71" s="46" t="n">
        <v>501.2</v>
      </c>
      <c r="D71" s="46" t="n">
        <v>507.7</v>
      </c>
      <c r="E71" s="46" t="n">
        <v>756.7</v>
      </c>
      <c r="F71" s="46" t="n">
        <v>5356.6</v>
      </c>
      <c r="G71" s="45" t="n">
        <v>28.57</v>
      </c>
      <c r="H71" s="46" t="n">
        <v>5639.1</v>
      </c>
      <c r="I71" s="46" t="n">
        <v>9274.2</v>
      </c>
      <c r="J71" s="46" t="n">
        <v>8651.8</v>
      </c>
      <c r="K71" s="46" t="n">
        <v>622.4</v>
      </c>
      <c r="L71" s="47" t="n">
        <v>0</v>
      </c>
      <c r="M71" s="47" t="n">
        <v>0</v>
      </c>
      <c r="N71" s="46" t="n">
        <v>7770.3</v>
      </c>
      <c r="O71" s="46"/>
    </row>
    <row r="72" customFormat="false" ht="15" hidden="false" customHeight="false" outlineLevel="0" collapsed="false">
      <c r="A72" s="44" t="n">
        <v>1196</v>
      </c>
      <c r="B72" s="45" t="n">
        <v>140</v>
      </c>
      <c r="C72" s="46" t="n">
        <v>496.9</v>
      </c>
      <c r="D72" s="46" t="n">
        <v>503.8</v>
      </c>
      <c r="E72" s="46" t="n">
        <v>758.1</v>
      </c>
      <c r="F72" s="46" t="n">
        <v>5357.9</v>
      </c>
      <c r="G72" s="45" t="n">
        <v>28.68</v>
      </c>
      <c r="H72" s="46" t="n">
        <v>5616.5</v>
      </c>
      <c r="I72" s="46" t="n">
        <v>9230.6</v>
      </c>
      <c r="J72" s="46" t="n">
        <v>8605.7</v>
      </c>
      <c r="K72" s="46" t="n">
        <v>624.9</v>
      </c>
      <c r="L72" s="47" t="n">
        <v>0</v>
      </c>
      <c r="M72" s="47" t="n">
        <v>0</v>
      </c>
      <c r="N72" s="46" t="n">
        <v>7882.9</v>
      </c>
      <c r="O72" s="46"/>
    </row>
    <row r="73" customFormat="false" ht="15" hidden="false" customHeight="false" outlineLevel="0" collapsed="false">
      <c r="A73" s="44" t="n">
        <v>1213</v>
      </c>
      <c r="B73" s="45" t="n">
        <v>142</v>
      </c>
      <c r="C73" s="46" t="n">
        <v>492.6</v>
      </c>
      <c r="D73" s="46" t="n">
        <v>499.9</v>
      </c>
      <c r="E73" s="46" t="n">
        <v>759.4</v>
      </c>
      <c r="F73" s="46" t="n">
        <v>5359.3</v>
      </c>
      <c r="G73" s="45" t="n">
        <v>28.8</v>
      </c>
      <c r="H73" s="46" t="n">
        <v>5593.8</v>
      </c>
      <c r="I73" s="46" t="n">
        <v>9187.1</v>
      </c>
      <c r="J73" s="46" t="n">
        <v>8559.6</v>
      </c>
      <c r="K73" s="46" t="n">
        <v>627.5</v>
      </c>
      <c r="L73" s="47" t="n">
        <v>0</v>
      </c>
      <c r="M73" s="47" t="n">
        <v>0</v>
      </c>
      <c r="N73" s="46" t="n">
        <v>7995.5</v>
      </c>
      <c r="O73" s="46"/>
    </row>
    <row r="74" customFormat="false" ht="15" hidden="false" customHeight="false" outlineLevel="0" collapsed="false">
      <c r="A74" s="44" t="n">
        <v>1230</v>
      </c>
      <c r="B74" s="45" t="n">
        <v>144</v>
      </c>
      <c r="C74" s="46" t="n">
        <v>488.2</v>
      </c>
      <c r="D74" s="46" t="n">
        <v>496</v>
      </c>
      <c r="E74" s="46" t="n">
        <v>760.8</v>
      </c>
      <c r="F74" s="46" t="n">
        <v>5360.7</v>
      </c>
      <c r="G74" s="45" t="n">
        <v>28.92</v>
      </c>
      <c r="H74" s="46" t="n">
        <v>5571.2</v>
      </c>
      <c r="I74" s="46" t="n">
        <v>9143.5</v>
      </c>
      <c r="J74" s="46" t="n">
        <v>8513.5</v>
      </c>
      <c r="K74" s="46" t="n">
        <v>630</v>
      </c>
      <c r="L74" s="47" t="n">
        <v>0</v>
      </c>
      <c r="M74" s="47" t="n">
        <v>0</v>
      </c>
      <c r="N74" s="46" t="n">
        <v>8108.1</v>
      </c>
      <c r="O74" s="46"/>
    </row>
    <row r="75" customFormat="false" ht="15" hidden="false" customHeight="false" outlineLevel="0" collapsed="false">
      <c r="A75" s="44" t="n">
        <v>1247</v>
      </c>
      <c r="B75" s="45" t="n">
        <v>146</v>
      </c>
      <c r="C75" s="46" t="n">
        <v>483.9</v>
      </c>
      <c r="D75" s="46" t="n">
        <v>492.1</v>
      </c>
      <c r="E75" s="46" t="n">
        <v>762.2</v>
      </c>
      <c r="F75" s="46" t="n">
        <v>5362</v>
      </c>
      <c r="G75" s="45" t="n">
        <v>29.04</v>
      </c>
      <c r="H75" s="46" t="n">
        <v>5548.5</v>
      </c>
      <c r="I75" s="46" t="n">
        <v>9099.9</v>
      </c>
      <c r="J75" s="46" t="n">
        <v>8467.3</v>
      </c>
      <c r="K75" s="46" t="n">
        <v>632.6</v>
      </c>
      <c r="L75" s="47" t="n">
        <v>0</v>
      </c>
      <c r="M75" s="47" t="n">
        <v>0</v>
      </c>
      <c r="N75" s="46" t="n">
        <v>8220.7</v>
      </c>
      <c r="O75" s="46"/>
    </row>
    <row r="76" customFormat="false" ht="15" hidden="false" customHeight="false" outlineLevel="0" collapsed="false">
      <c r="A76" s="44" t="n">
        <v>1265</v>
      </c>
      <c r="B76" s="45" t="n">
        <v>148</v>
      </c>
      <c r="C76" s="46" t="n">
        <v>479.6</v>
      </c>
      <c r="D76" s="46" t="n">
        <v>488.2</v>
      </c>
      <c r="E76" s="46" t="n">
        <v>763.6</v>
      </c>
      <c r="F76" s="46" t="n">
        <v>5363.4</v>
      </c>
      <c r="G76" s="45" t="n">
        <v>29.15</v>
      </c>
      <c r="H76" s="46" t="n">
        <v>5525.9</v>
      </c>
      <c r="I76" s="46" t="n">
        <v>9056.4</v>
      </c>
      <c r="J76" s="46" t="n">
        <v>8421.2</v>
      </c>
      <c r="K76" s="46" t="n">
        <v>635.2</v>
      </c>
      <c r="L76" s="47" t="n">
        <v>0</v>
      </c>
      <c r="M76" s="47" t="n">
        <v>0</v>
      </c>
      <c r="N76" s="46" t="n">
        <v>8333.3</v>
      </c>
      <c r="O76" s="46"/>
    </row>
    <row r="77" customFormat="false" ht="15" hidden="false" customHeight="false" outlineLevel="0" collapsed="false">
      <c r="A77" s="44" t="n">
        <v>1282</v>
      </c>
      <c r="B77" s="45" t="n">
        <v>150</v>
      </c>
      <c r="C77" s="46" t="n">
        <v>475.2</v>
      </c>
      <c r="D77" s="46" t="n">
        <v>484.3</v>
      </c>
      <c r="E77" s="46" t="n">
        <v>764.9</v>
      </c>
      <c r="F77" s="46" t="n">
        <v>5364.8</v>
      </c>
      <c r="G77" s="45" t="n">
        <v>29.28</v>
      </c>
      <c r="H77" s="46" t="n">
        <v>5503.2</v>
      </c>
      <c r="I77" s="46" t="n">
        <v>9012.8</v>
      </c>
      <c r="J77" s="46" t="n">
        <v>8375</v>
      </c>
      <c r="K77" s="46" t="n">
        <v>637.8</v>
      </c>
      <c r="L77" s="47" t="n">
        <v>0</v>
      </c>
      <c r="M77" s="47" t="n">
        <v>0</v>
      </c>
      <c r="N77" s="46" t="n">
        <v>8445.9</v>
      </c>
      <c r="O77" s="46"/>
    </row>
    <row r="78" customFormat="false" ht="15" hidden="false" customHeight="false" outlineLevel="0" collapsed="false">
      <c r="A78" s="44" t="n">
        <v>1299</v>
      </c>
      <c r="B78" s="45" t="n">
        <v>152</v>
      </c>
      <c r="C78" s="46" t="n">
        <v>470.9</v>
      </c>
      <c r="D78" s="46" t="n">
        <v>480.4</v>
      </c>
      <c r="E78" s="46" t="n">
        <v>766.3</v>
      </c>
      <c r="F78" s="46" t="n">
        <v>5366.1</v>
      </c>
      <c r="G78" s="45" t="n">
        <v>29.4</v>
      </c>
      <c r="H78" s="46" t="n">
        <v>5480.5</v>
      </c>
      <c r="I78" s="46" t="n">
        <v>8969.2</v>
      </c>
      <c r="J78" s="46" t="n">
        <v>8328.8</v>
      </c>
      <c r="K78" s="46" t="n">
        <v>640.4</v>
      </c>
      <c r="L78" s="47" t="n">
        <v>0</v>
      </c>
      <c r="M78" s="47" t="n">
        <v>0</v>
      </c>
      <c r="N78" s="46" t="n">
        <v>8558.6</v>
      </c>
      <c r="O78" s="46"/>
    </row>
    <row r="79" customFormat="false" ht="15" hidden="false" customHeight="false" outlineLevel="0" collapsed="false">
      <c r="A79" s="44" t="n">
        <v>1316</v>
      </c>
      <c r="B79" s="45" t="n">
        <v>154</v>
      </c>
      <c r="C79" s="46" t="n">
        <v>466.6</v>
      </c>
      <c r="D79" s="46" t="n">
        <v>476.5</v>
      </c>
      <c r="E79" s="46" t="n">
        <v>767.7</v>
      </c>
      <c r="F79" s="46" t="n">
        <v>5367.6</v>
      </c>
      <c r="G79" s="45" t="n">
        <v>29.52</v>
      </c>
      <c r="H79" s="46" t="n">
        <v>5457.9</v>
      </c>
      <c r="I79" s="46" t="n">
        <v>8925.6</v>
      </c>
      <c r="J79" s="46" t="n">
        <v>8282.5</v>
      </c>
      <c r="K79" s="46" t="n">
        <v>643.1</v>
      </c>
      <c r="L79" s="47" t="n">
        <v>0</v>
      </c>
      <c r="M79" s="47" t="n">
        <v>0</v>
      </c>
      <c r="N79" s="46" t="n">
        <v>8671.2</v>
      </c>
      <c r="O79" s="46"/>
    </row>
    <row r="80" customFormat="false" ht="15" hidden="false" customHeight="false" outlineLevel="0" collapsed="false">
      <c r="A80" s="44" t="n">
        <v>1333</v>
      </c>
      <c r="B80" s="45" t="n">
        <v>156</v>
      </c>
      <c r="C80" s="46" t="n">
        <v>462.2</v>
      </c>
      <c r="D80" s="46" t="n">
        <v>472.6</v>
      </c>
      <c r="E80" s="46" t="n">
        <v>769.2</v>
      </c>
      <c r="F80" s="46" t="n">
        <v>5369</v>
      </c>
      <c r="G80" s="45" t="n">
        <v>29.64</v>
      </c>
      <c r="H80" s="46" t="n">
        <v>5435.2</v>
      </c>
      <c r="I80" s="46" t="n">
        <v>8882.1</v>
      </c>
      <c r="J80" s="46" t="n">
        <v>8236.3</v>
      </c>
      <c r="K80" s="46" t="n">
        <v>645.8</v>
      </c>
      <c r="L80" s="47" t="n">
        <v>0</v>
      </c>
      <c r="M80" s="47" t="n">
        <v>0</v>
      </c>
      <c r="N80" s="46" t="n">
        <v>8783.8</v>
      </c>
      <c r="O80" s="46"/>
    </row>
    <row r="81" customFormat="false" ht="15" hidden="false" customHeight="false" outlineLevel="0" collapsed="false">
      <c r="A81" s="44" t="n">
        <v>1350</v>
      </c>
      <c r="B81" s="45" t="n">
        <v>158</v>
      </c>
      <c r="C81" s="46" t="n">
        <v>457.9</v>
      </c>
      <c r="D81" s="46" t="n">
        <v>468.7</v>
      </c>
      <c r="E81" s="46" t="n">
        <v>770.3</v>
      </c>
      <c r="F81" s="46" t="n">
        <v>5366</v>
      </c>
      <c r="G81" s="45" t="n">
        <v>29.77</v>
      </c>
      <c r="H81" s="46" t="n">
        <v>5412.5</v>
      </c>
      <c r="I81" s="46" t="n">
        <v>8838.5</v>
      </c>
      <c r="J81" s="46" t="n">
        <v>8190.6</v>
      </c>
      <c r="K81" s="46" t="n">
        <v>647.9</v>
      </c>
      <c r="L81" s="47" t="n">
        <v>0</v>
      </c>
      <c r="M81" s="47" t="n">
        <v>0</v>
      </c>
      <c r="N81" s="46" t="n">
        <v>8896.4</v>
      </c>
      <c r="O81" s="46"/>
    </row>
    <row r="82" customFormat="false" ht="15" hidden="false" customHeight="false" outlineLevel="0" collapsed="false">
      <c r="A82" s="44" t="n">
        <v>1367</v>
      </c>
      <c r="B82" s="45" t="n">
        <v>160</v>
      </c>
      <c r="C82" s="46" t="n">
        <v>453.6</v>
      </c>
      <c r="D82" s="46" t="n">
        <v>464.8</v>
      </c>
      <c r="E82" s="46" t="n">
        <v>770.5</v>
      </c>
      <c r="F82" s="46" t="n">
        <v>5346.6</v>
      </c>
      <c r="G82" s="45" t="n">
        <v>29.89</v>
      </c>
      <c r="H82" s="46" t="n">
        <v>5389.8</v>
      </c>
      <c r="I82" s="46" t="n">
        <v>8794.9</v>
      </c>
      <c r="J82" s="46" t="n">
        <v>8147.2</v>
      </c>
      <c r="K82" s="46" t="n">
        <v>647.7</v>
      </c>
      <c r="L82" s="47" t="n">
        <v>0</v>
      </c>
      <c r="M82" s="47" t="n">
        <v>0</v>
      </c>
      <c r="N82" s="46" t="n">
        <v>9009</v>
      </c>
      <c r="O82" s="46"/>
    </row>
    <row r="83" customFormat="false" ht="15" hidden="false" customHeight="false" outlineLevel="0" collapsed="false">
      <c r="A83" s="44" t="n">
        <v>1384</v>
      </c>
      <c r="B83" s="45" t="n">
        <v>162</v>
      </c>
      <c r="C83" s="46" t="n">
        <v>449.3</v>
      </c>
      <c r="D83" s="46" t="n">
        <v>460.9</v>
      </c>
      <c r="E83" s="46" t="n">
        <v>770.6</v>
      </c>
      <c r="F83" s="46" t="n">
        <v>5327.3</v>
      </c>
      <c r="G83" s="45" t="n">
        <v>30.02</v>
      </c>
      <c r="H83" s="46" t="n">
        <v>5367.1</v>
      </c>
      <c r="I83" s="46" t="n">
        <v>8751.3</v>
      </c>
      <c r="J83" s="46" t="n">
        <v>8103.7</v>
      </c>
      <c r="K83" s="46" t="n">
        <v>647.6</v>
      </c>
      <c r="L83" s="47" t="n">
        <v>0</v>
      </c>
      <c r="M83" s="47" t="n">
        <v>0</v>
      </c>
      <c r="N83" s="46" t="n">
        <v>9121.6</v>
      </c>
      <c r="O83" s="46"/>
    </row>
    <row r="84" customFormat="false" ht="15" hidden="false" customHeight="false" outlineLevel="0" collapsed="false">
      <c r="A84" s="44" t="n">
        <v>1401</v>
      </c>
      <c r="B84" s="45" t="n">
        <v>164</v>
      </c>
      <c r="C84" s="46" t="n">
        <v>444.9</v>
      </c>
      <c r="D84" s="46" t="n">
        <v>457</v>
      </c>
      <c r="E84" s="46" t="n">
        <v>770.7</v>
      </c>
      <c r="F84" s="46" t="n">
        <v>5307.9</v>
      </c>
      <c r="G84" s="45" t="n">
        <v>30.14</v>
      </c>
      <c r="H84" s="46" t="n">
        <v>5344.4</v>
      </c>
      <c r="I84" s="46" t="n">
        <v>8707.8</v>
      </c>
      <c r="J84" s="46" t="n">
        <v>8060.2</v>
      </c>
      <c r="K84" s="46" t="n">
        <v>647.5</v>
      </c>
      <c r="L84" s="47" t="n">
        <v>0</v>
      </c>
      <c r="M84" s="47" t="n">
        <v>0</v>
      </c>
      <c r="N84" s="46" t="n">
        <v>9234.2</v>
      </c>
      <c r="O84" s="46"/>
    </row>
    <row r="85" customFormat="false" ht="15" hidden="false" customHeight="false" outlineLevel="0" collapsed="false">
      <c r="A85" s="44" t="n">
        <v>1418</v>
      </c>
      <c r="B85" s="45" t="n">
        <v>166</v>
      </c>
      <c r="C85" s="46" t="n">
        <v>440.6</v>
      </c>
      <c r="D85" s="46" t="n">
        <v>453.1</v>
      </c>
      <c r="E85" s="46" t="n">
        <v>770.8</v>
      </c>
      <c r="F85" s="46" t="n">
        <v>5288.4</v>
      </c>
      <c r="G85" s="45" t="n">
        <v>30.27</v>
      </c>
      <c r="H85" s="46" t="n">
        <v>5321.7</v>
      </c>
      <c r="I85" s="46" t="n">
        <v>8664.2</v>
      </c>
      <c r="J85" s="46" t="n">
        <v>8016.7</v>
      </c>
      <c r="K85" s="46" t="n">
        <v>647.5</v>
      </c>
      <c r="L85" s="47" t="n">
        <v>0</v>
      </c>
      <c r="M85" s="47" t="n">
        <v>0</v>
      </c>
      <c r="N85" s="46" t="n">
        <v>9346.8</v>
      </c>
      <c r="O85" s="46"/>
    </row>
    <row r="86" customFormat="false" ht="15" hidden="false" customHeight="false" outlineLevel="0" collapsed="false">
      <c r="A86" s="44" t="n">
        <v>1435</v>
      </c>
      <c r="B86" s="45" t="n">
        <v>168</v>
      </c>
      <c r="C86" s="46" t="n">
        <v>436.3</v>
      </c>
      <c r="D86" s="46" t="n">
        <v>449.2</v>
      </c>
      <c r="E86" s="46" t="n">
        <v>770.9</v>
      </c>
      <c r="F86" s="46" t="n">
        <v>5269</v>
      </c>
      <c r="G86" s="45" t="n">
        <v>30.4</v>
      </c>
      <c r="H86" s="46" t="n">
        <v>5299</v>
      </c>
      <c r="I86" s="46" t="n">
        <v>8620.6</v>
      </c>
      <c r="J86" s="46" t="n">
        <v>7973.2</v>
      </c>
      <c r="K86" s="46" t="n">
        <v>647.4</v>
      </c>
      <c r="L86" s="47" t="n">
        <v>0</v>
      </c>
      <c r="M86" s="47" t="n">
        <v>0</v>
      </c>
      <c r="N86" s="46" t="n">
        <v>9459.5</v>
      </c>
      <c r="O86" s="46"/>
    </row>
    <row r="87" customFormat="false" ht="15" hidden="false" customHeight="false" outlineLevel="0" collapsed="false">
      <c r="A87" s="44" t="n">
        <v>1452</v>
      </c>
      <c r="B87" s="45" t="n">
        <v>170</v>
      </c>
      <c r="C87" s="46" t="n">
        <v>431.9</v>
      </c>
      <c r="D87" s="46" t="n">
        <v>445.3</v>
      </c>
      <c r="E87" s="46" t="n">
        <v>771.1</v>
      </c>
      <c r="F87" s="46" t="n">
        <v>5249.5</v>
      </c>
      <c r="G87" s="45" t="n">
        <v>30.53</v>
      </c>
      <c r="H87" s="46" t="n">
        <v>5276.3</v>
      </c>
      <c r="I87" s="46" t="n">
        <v>8577.1</v>
      </c>
      <c r="J87" s="46" t="n">
        <v>7929.6</v>
      </c>
      <c r="K87" s="46" t="n">
        <v>647.4</v>
      </c>
      <c r="L87" s="47" t="n">
        <v>0</v>
      </c>
      <c r="M87" s="47" t="n">
        <v>0</v>
      </c>
      <c r="N87" s="46" t="n">
        <v>9572.1</v>
      </c>
      <c r="O87" s="46"/>
    </row>
    <row r="88" customFormat="false" ht="15" hidden="false" customHeight="false" outlineLevel="0" collapsed="false">
      <c r="A88" s="44" t="n">
        <v>1470</v>
      </c>
      <c r="B88" s="45" t="n">
        <v>172</v>
      </c>
      <c r="C88" s="46" t="n">
        <v>427.6</v>
      </c>
      <c r="D88" s="46" t="n">
        <v>441.4</v>
      </c>
      <c r="E88" s="46" t="n">
        <v>771.2</v>
      </c>
      <c r="F88" s="46" t="n">
        <v>5230</v>
      </c>
      <c r="G88" s="45" t="n">
        <v>30.67</v>
      </c>
      <c r="H88" s="46" t="n">
        <v>5253.6</v>
      </c>
      <c r="I88" s="46" t="n">
        <v>8533.5</v>
      </c>
      <c r="J88" s="46" t="n">
        <v>7886</v>
      </c>
      <c r="K88" s="46" t="n">
        <v>647.4</v>
      </c>
      <c r="L88" s="47" t="n">
        <v>0</v>
      </c>
      <c r="M88" s="47" t="n">
        <v>0</v>
      </c>
      <c r="N88" s="46" t="n">
        <v>9684.7</v>
      </c>
      <c r="O88" s="46"/>
    </row>
    <row r="89" customFormat="false" ht="15" hidden="false" customHeight="false" outlineLevel="0" collapsed="false">
      <c r="A89" s="44" t="n">
        <v>1487</v>
      </c>
      <c r="B89" s="45" t="n">
        <v>174</v>
      </c>
      <c r="C89" s="46" t="n">
        <v>423.3</v>
      </c>
      <c r="D89" s="46" t="n">
        <v>437.5</v>
      </c>
      <c r="E89" s="46" t="n">
        <v>771.4</v>
      </c>
      <c r="F89" s="46" t="n">
        <v>5210.5</v>
      </c>
      <c r="G89" s="45" t="n">
        <v>30.8</v>
      </c>
      <c r="H89" s="46" t="n">
        <v>5230.9</v>
      </c>
      <c r="I89" s="46" t="n">
        <v>8489.9</v>
      </c>
      <c r="J89" s="46" t="n">
        <v>7842.4</v>
      </c>
      <c r="K89" s="46" t="n">
        <v>647.5</v>
      </c>
      <c r="L89" s="47" t="n">
        <v>0</v>
      </c>
      <c r="M89" s="47" t="n">
        <v>0</v>
      </c>
      <c r="N89" s="46" t="n">
        <v>9797.3</v>
      </c>
      <c r="O89" s="46"/>
    </row>
    <row r="90" customFormat="false" ht="15" hidden="false" customHeight="false" outlineLevel="0" collapsed="false">
      <c r="A90" s="44" t="n">
        <v>1504</v>
      </c>
      <c r="B90" s="45" t="n">
        <v>176</v>
      </c>
      <c r="C90" s="46" t="n">
        <v>418.9</v>
      </c>
      <c r="D90" s="46" t="n">
        <v>433.6</v>
      </c>
      <c r="E90" s="46" t="n">
        <v>771.6</v>
      </c>
      <c r="F90" s="46" t="n">
        <v>5190.9</v>
      </c>
      <c r="G90" s="45" t="n">
        <v>30.93</v>
      </c>
      <c r="H90" s="46" t="n">
        <v>5208.2</v>
      </c>
      <c r="I90" s="46" t="n">
        <v>8446.3</v>
      </c>
      <c r="J90" s="46" t="n">
        <v>7798.8</v>
      </c>
      <c r="K90" s="46" t="n">
        <v>647.5</v>
      </c>
      <c r="L90" s="47" t="n">
        <v>0</v>
      </c>
      <c r="M90" s="47" t="n">
        <v>0</v>
      </c>
      <c r="N90" s="46" t="n">
        <v>9909.9</v>
      </c>
      <c r="O90" s="46"/>
    </row>
    <row r="91" customFormat="false" ht="15" hidden="false" customHeight="false" outlineLevel="0" collapsed="false">
      <c r="A91" s="44" t="n">
        <v>1521</v>
      </c>
      <c r="B91" s="45" t="n">
        <v>178</v>
      </c>
      <c r="C91" s="46" t="n">
        <v>414.6</v>
      </c>
      <c r="D91" s="46" t="n">
        <v>429.6</v>
      </c>
      <c r="E91" s="46" t="n">
        <v>771.8</v>
      </c>
      <c r="F91" s="46" t="n">
        <v>5171.3</v>
      </c>
      <c r="G91" s="45" t="n">
        <v>31.07</v>
      </c>
      <c r="H91" s="46" t="n">
        <v>5185.5</v>
      </c>
      <c r="I91" s="46" t="n">
        <v>8402.8</v>
      </c>
      <c r="J91" s="46" t="n">
        <v>7755.2</v>
      </c>
      <c r="K91" s="46" t="n">
        <v>647.6</v>
      </c>
      <c r="L91" s="47" t="n">
        <v>0</v>
      </c>
      <c r="M91" s="47" t="n">
        <v>0</v>
      </c>
      <c r="N91" s="46" t="n">
        <v>10022.5</v>
      </c>
      <c r="O91" s="46"/>
    </row>
    <row r="92" customFormat="false" ht="15" hidden="false" customHeight="false" outlineLevel="0" collapsed="false">
      <c r="A92" s="44" t="n">
        <v>1538</v>
      </c>
      <c r="B92" s="45" t="n">
        <v>180</v>
      </c>
      <c r="C92" s="46" t="n">
        <v>410.3</v>
      </c>
      <c r="D92" s="46" t="n">
        <v>425.7</v>
      </c>
      <c r="E92" s="46" t="n">
        <v>772.1</v>
      </c>
      <c r="F92" s="46" t="n">
        <v>5151.8</v>
      </c>
      <c r="G92" s="45" t="n">
        <v>31.2</v>
      </c>
      <c r="H92" s="46" t="n">
        <v>5162.8</v>
      </c>
      <c r="I92" s="46" t="n">
        <v>8359.2</v>
      </c>
      <c r="J92" s="46" t="n">
        <v>7711.5</v>
      </c>
      <c r="K92" s="46" t="n">
        <v>647.7</v>
      </c>
      <c r="L92" s="47" t="n">
        <v>0</v>
      </c>
      <c r="M92" s="47" t="n">
        <v>0</v>
      </c>
      <c r="N92" s="46" t="n">
        <v>10135.1</v>
      </c>
      <c r="O92" s="46"/>
    </row>
    <row r="93" customFormat="false" ht="15" hidden="false" customHeight="false" outlineLevel="0" collapsed="false">
      <c r="A93" s="44" t="n">
        <v>1555</v>
      </c>
      <c r="B93" s="45" t="n">
        <v>182</v>
      </c>
      <c r="C93" s="46" t="n">
        <v>406</v>
      </c>
      <c r="D93" s="46" t="n">
        <v>421.8</v>
      </c>
      <c r="E93" s="46" t="n">
        <v>772.4</v>
      </c>
      <c r="F93" s="46" t="n">
        <v>5132.1</v>
      </c>
      <c r="G93" s="45" t="n">
        <v>31.34</v>
      </c>
      <c r="H93" s="46" t="n">
        <v>5140.2</v>
      </c>
      <c r="I93" s="46" t="n">
        <v>8315.6</v>
      </c>
      <c r="J93" s="46" t="n">
        <v>7667.8</v>
      </c>
      <c r="K93" s="46" t="n">
        <v>647.8</v>
      </c>
      <c r="L93" s="47" t="n">
        <v>0</v>
      </c>
      <c r="M93" s="47" t="n">
        <v>0</v>
      </c>
      <c r="N93" s="46" t="n">
        <v>10247.7</v>
      </c>
      <c r="O93" s="46"/>
    </row>
    <row r="94" customFormat="false" ht="15" hidden="false" customHeight="false" outlineLevel="0" collapsed="false">
      <c r="A94" s="44" t="n">
        <v>1572</v>
      </c>
      <c r="B94" s="45" t="n">
        <v>184</v>
      </c>
      <c r="C94" s="46" t="n">
        <v>401.6</v>
      </c>
      <c r="D94" s="46" t="n">
        <v>417.9</v>
      </c>
      <c r="E94" s="46" t="n">
        <v>772.6</v>
      </c>
      <c r="F94" s="46" t="n">
        <v>5112.5</v>
      </c>
      <c r="G94" s="45" t="n">
        <v>31.48</v>
      </c>
      <c r="H94" s="46" t="n">
        <v>5117.4</v>
      </c>
      <c r="I94" s="46" t="n">
        <v>8272</v>
      </c>
      <c r="J94" s="46" t="n">
        <v>7624.1</v>
      </c>
      <c r="K94" s="46" t="n">
        <v>648</v>
      </c>
      <c r="L94" s="47" t="n">
        <v>0</v>
      </c>
      <c r="M94" s="47" t="n">
        <v>0</v>
      </c>
      <c r="N94" s="46" t="n">
        <v>10360.4</v>
      </c>
      <c r="O94" s="46"/>
    </row>
    <row r="95" customFormat="false" ht="15" hidden="false" customHeight="false" outlineLevel="0" collapsed="false">
      <c r="A95" s="44" t="n">
        <v>1589</v>
      </c>
      <c r="B95" s="45" t="n">
        <v>186</v>
      </c>
      <c r="C95" s="46" t="n">
        <v>397.3</v>
      </c>
      <c r="D95" s="46" t="n">
        <v>414</v>
      </c>
      <c r="E95" s="46" t="n">
        <v>772.8</v>
      </c>
      <c r="F95" s="46" t="n">
        <v>5092.8</v>
      </c>
      <c r="G95" s="45" t="n">
        <v>31.62</v>
      </c>
      <c r="H95" s="46" t="n">
        <v>5094.7</v>
      </c>
      <c r="I95" s="46" t="n">
        <v>8228.5</v>
      </c>
      <c r="J95" s="46" t="n">
        <v>7580.3</v>
      </c>
      <c r="K95" s="46" t="n">
        <v>648.1</v>
      </c>
      <c r="L95" s="47" t="n">
        <v>0</v>
      </c>
      <c r="M95" s="47" t="n">
        <v>0</v>
      </c>
      <c r="N95" s="46" t="n">
        <v>10473</v>
      </c>
      <c r="O95" s="46"/>
    </row>
    <row r="96" customFormat="false" ht="15" hidden="false" customHeight="false" outlineLevel="0" collapsed="false">
      <c r="A96" s="44" t="n">
        <v>1606</v>
      </c>
      <c r="B96" s="45" t="n">
        <v>188</v>
      </c>
      <c r="C96" s="46" t="n">
        <v>393</v>
      </c>
      <c r="D96" s="46" t="n">
        <v>410.1</v>
      </c>
      <c r="E96" s="46" t="n">
        <v>773.4</v>
      </c>
      <c r="F96" s="46" t="n">
        <v>5079.8</v>
      </c>
      <c r="G96" s="45" t="n">
        <v>31.76</v>
      </c>
      <c r="H96" s="46" t="n">
        <v>5072.5</v>
      </c>
      <c r="I96" s="46" t="n">
        <v>8185.8</v>
      </c>
      <c r="J96" s="46" t="n">
        <v>7536.6</v>
      </c>
      <c r="K96" s="46" t="n">
        <v>649.2</v>
      </c>
      <c r="L96" s="47" t="n">
        <v>0</v>
      </c>
      <c r="M96" s="47" t="n">
        <v>0</v>
      </c>
      <c r="N96" s="46" t="n">
        <v>10585.6</v>
      </c>
      <c r="O96" s="46"/>
    </row>
    <row r="97" customFormat="false" ht="15" hidden="false" customHeight="false" outlineLevel="0" collapsed="false">
      <c r="A97" s="44" t="n">
        <v>1623</v>
      </c>
      <c r="B97" s="45" t="n">
        <v>190</v>
      </c>
      <c r="C97" s="46" t="n">
        <v>388.6</v>
      </c>
      <c r="D97" s="46" t="n">
        <v>406.2</v>
      </c>
      <c r="E97" s="46" t="n">
        <v>774.8</v>
      </c>
      <c r="F97" s="46" t="n">
        <v>5079.8</v>
      </c>
      <c r="G97" s="45" t="n">
        <v>31.89</v>
      </c>
      <c r="H97" s="46" t="n">
        <v>5051.2</v>
      </c>
      <c r="I97" s="46" t="n">
        <v>8145</v>
      </c>
      <c r="J97" s="46" t="n">
        <v>7493</v>
      </c>
      <c r="K97" s="46" t="n">
        <v>652</v>
      </c>
      <c r="L97" s="47" t="n">
        <v>0</v>
      </c>
      <c r="M97" s="47" t="n">
        <v>0</v>
      </c>
      <c r="N97" s="46" t="n">
        <v>10698.2</v>
      </c>
      <c r="O97" s="46"/>
    </row>
    <row r="98" customFormat="false" ht="15" hidden="false" customHeight="false" outlineLevel="0" collapsed="false">
      <c r="A98" s="44" t="n">
        <v>1640</v>
      </c>
      <c r="B98" s="45" t="n">
        <v>192</v>
      </c>
      <c r="C98" s="46" t="n">
        <v>384.3</v>
      </c>
      <c r="D98" s="46" t="n">
        <v>402.3</v>
      </c>
      <c r="E98" s="46" t="n">
        <v>776.3</v>
      </c>
      <c r="F98" s="46" t="n">
        <v>5079.8</v>
      </c>
      <c r="G98" s="45" t="n">
        <v>32.03</v>
      </c>
      <c r="H98" s="46" t="n">
        <v>5029.9</v>
      </c>
      <c r="I98" s="46" t="n">
        <v>8104.1</v>
      </c>
      <c r="J98" s="46" t="n">
        <v>7449.4</v>
      </c>
      <c r="K98" s="46" t="n">
        <v>654.7</v>
      </c>
      <c r="L98" s="47" t="n">
        <v>0</v>
      </c>
      <c r="M98" s="47" t="n">
        <v>0</v>
      </c>
      <c r="N98" s="46" t="n">
        <v>10810.8</v>
      </c>
      <c r="O98" s="46"/>
    </row>
    <row r="99" customFormat="false" ht="15" hidden="false" customHeight="false" outlineLevel="0" collapsed="false">
      <c r="A99" s="44" t="n">
        <v>1658</v>
      </c>
      <c r="B99" s="45" t="n">
        <v>194</v>
      </c>
      <c r="C99" s="46" t="n">
        <v>380</v>
      </c>
      <c r="D99" s="46" t="n">
        <v>398.3</v>
      </c>
      <c r="E99" s="46" t="n">
        <v>777.7</v>
      </c>
      <c r="F99" s="46" t="n">
        <v>5079.8</v>
      </c>
      <c r="G99" s="45" t="n">
        <v>32.17</v>
      </c>
      <c r="H99" s="46" t="n">
        <v>5008.7</v>
      </c>
      <c r="I99" s="46" t="n">
        <v>8063.2</v>
      </c>
      <c r="J99" s="46" t="n">
        <v>7405.7</v>
      </c>
      <c r="K99" s="46" t="n">
        <v>657.5</v>
      </c>
      <c r="L99" s="47" t="n">
        <v>0</v>
      </c>
      <c r="M99" s="47" t="n">
        <v>0</v>
      </c>
      <c r="N99" s="46" t="n">
        <v>10923.4</v>
      </c>
      <c r="O99" s="46"/>
    </row>
    <row r="100" customFormat="false" ht="15" hidden="false" customHeight="false" outlineLevel="0" collapsed="false">
      <c r="A100" s="44" t="n">
        <v>1675</v>
      </c>
      <c r="B100" s="45" t="n">
        <v>196</v>
      </c>
      <c r="C100" s="46" t="n">
        <v>375.6</v>
      </c>
      <c r="D100" s="46" t="n">
        <v>394.4</v>
      </c>
      <c r="E100" s="46" t="n">
        <v>779.2</v>
      </c>
      <c r="F100" s="46" t="n">
        <v>5079.8</v>
      </c>
      <c r="G100" s="45" t="n">
        <v>32.3</v>
      </c>
      <c r="H100" s="46" t="n">
        <v>4987.4</v>
      </c>
      <c r="I100" s="46" t="n">
        <v>8022.3</v>
      </c>
      <c r="J100" s="46" t="n">
        <v>7362</v>
      </c>
      <c r="K100" s="46" t="n">
        <v>660.3</v>
      </c>
      <c r="L100" s="47" t="n">
        <v>0</v>
      </c>
      <c r="M100" s="47" t="n">
        <v>0</v>
      </c>
      <c r="N100" s="46" t="n">
        <v>11036</v>
      </c>
      <c r="O100" s="46"/>
    </row>
    <row r="101" customFormat="false" ht="15" hidden="false" customHeight="false" outlineLevel="0" collapsed="false">
      <c r="A101" s="44" t="n">
        <v>1692</v>
      </c>
      <c r="B101" s="45" t="n">
        <v>198</v>
      </c>
      <c r="C101" s="46" t="n">
        <v>371.3</v>
      </c>
      <c r="D101" s="46" t="n">
        <v>390.5</v>
      </c>
      <c r="E101" s="46" t="n">
        <v>780.7</v>
      </c>
      <c r="F101" s="46" t="n">
        <v>5079.8</v>
      </c>
      <c r="G101" s="45" t="n">
        <v>32.44</v>
      </c>
      <c r="H101" s="46" t="n">
        <v>4966.2</v>
      </c>
      <c r="I101" s="46" t="n">
        <v>7981.4</v>
      </c>
      <c r="J101" s="46" t="n">
        <v>7318.3</v>
      </c>
      <c r="K101" s="46" t="n">
        <v>663.1</v>
      </c>
      <c r="L101" s="47" t="n">
        <v>0</v>
      </c>
      <c r="M101" s="47" t="n">
        <v>0</v>
      </c>
      <c r="N101" s="46" t="n">
        <v>11148.6</v>
      </c>
      <c r="O101" s="46"/>
    </row>
    <row r="102" customFormat="false" ht="15" hidden="false" customHeight="false" outlineLevel="0" collapsed="false">
      <c r="A102" s="44" t="n">
        <v>1709</v>
      </c>
      <c r="B102" s="45" t="n">
        <v>200</v>
      </c>
      <c r="C102" s="46" t="n">
        <v>367</v>
      </c>
      <c r="D102" s="46" t="n">
        <v>386.6</v>
      </c>
      <c r="E102" s="46" t="n">
        <v>782.2</v>
      </c>
      <c r="F102" s="46" t="n">
        <v>5079.8</v>
      </c>
      <c r="G102" s="45" t="n">
        <v>32.58</v>
      </c>
      <c r="H102" s="46" t="n">
        <v>4945</v>
      </c>
      <c r="I102" s="46" t="n">
        <v>7940.5</v>
      </c>
      <c r="J102" s="46" t="n">
        <v>7274.6</v>
      </c>
      <c r="K102" s="46" t="n">
        <v>666</v>
      </c>
      <c r="L102" s="47" t="n">
        <v>0</v>
      </c>
      <c r="M102" s="47" t="n">
        <v>0</v>
      </c>
      <c r="N102" s="46" t="n">
        <v>11261.3</v>
      </c>
      <c r="O102" s="46"/>
    </row>
    <row r="103" customFormat="false" ht="15" hidden="false" customHeight="false" outlineLevel="0" collapsed="false">
      <c r="A103" s="44" t="n">
        <v>1726</v>
      </c>
      <c r="B103" s="45" t="n">
        <v>202</v>
      </c>
      <c r="C103" s="46" t="n">
        <v>362.6</v>
      </c>
      <c r="D103" s="46" t="n">
        <v>382.3</v>
      </c>
      <c r="E103" s="46" t="n">
        <v>783.7</v>
      </c>
      <c r="F103" s="46" t="n">
        <v>5079.8</v>
      </c>
      <c r="G103" s="45" t="n">
        <v>32.72</v>
      </c>
      <c r="H103" s="46" t="n">
        <v>4923.7</v>
      </c>
      <c r="I103" s="46" t="n">
        <v>7899.7</v>
      </c>
      <c r="J103" s="46" t="n">
        <v>7230.8</v>
      </c>
      <c r="K103" s="46" t="n">
        <v>668.8</v>
      </c>
      <c r="L103" s="47" t="n">
        <v>0</v>
      </c>
      <c r="M103" s="47" t="n">
        <v>0</v>
      </c>
      <c r="N103" s="46" t="n">
        <v>11384.3</v>
      </c>
      <c r="O103" s="46"/>
    </row>
    <row r="104" customFormat="false" ht="15" hidden="false" customHeight="false" outlineLevel="0" collapsed="false">
      <c r="A104" s="44" t="n">
        <v>1743</v>
      </c>
      <c r="B104" s="45" t="n">
        <v>204</v>
      </c>
      <c r="C104" s="46" t="n">
        <v>358.3</v>
      </c>
      <c r="D104" s="46" t="n">
        <v>374.1</v>
      </c>
      <c r="E104" s="46" t="n">
        <v>785.2</v>
      </c>
      <c r="F104" s="46" t="n">
        <v>5079.8</v>
      </c>
      <c r="G104" s="45" t="n">
        <v>32.86</v>
      </c>
      <c r="H104" s="46" t="n">
        <v>4902.5</v>
      </c>
      <c r="I104" s="46" t="n">
        <v>7858.8</v>
      </c>
      <c r="J104" s="46" t="n">
        <v>7187</v>
      </c>
      <c r="K104" s="46" t="n">
        <v>671.7</v>
      </c>
      <c r="L104" s="47" t="n">
        <v>0</v>
      </c>
      <c r="M104" s="47" t="n">
        <v>0</v>
      </c>
      <c r="N104" s="46" t="n">
        <v>11613.1</v>
      </c>
      <c r="O104" s="46"/>
    </row>
    <row r="105" customFormat="false" ht="15" hidden="false" customHeight="false" outlineLevel="0" collapsed="false">
      <c r="A105" s="44" t="n">
        <v>1760</v>
      </c>
      <c r="B105" s="45" t="n">
        <v>206</v>
      </c>
      <c r="C105" s="46" t="n">
        <v>354</v>
      </c>
      <c r="D105" s="46" t="n">
        <v>366</v>
      </c>
      <c r="E105" s="46" t="n">
        <v>786.7</v>
      </c>
      <c r="F105" s="46" t="n">
        <v>5079.8</v>
      </c>
      <c r="G105" s="45" t="n">
        <v>33.01</v>
      </c>
      <c r="H105" s="46" t="n">
        <v>4881.2</v>
      </c>
      <c r="I105" s="46" t="n">
        <v>7817.9</v>
      </c>
      <c r="J105" s="46" t="n">
        <v>7143.2</v>
      </c>
      <c r="K105" s="46" t="n">
        <v>674.7</v>
      </c>
      <c r="L105" s="47" t="n">
        <v>0</v>
      </c>
      <c r="M105" s="47" t="n">
        <v>0</v>
      </c>
      <c r="N105" s="46" t="n">
        <v>11841.9</v>
      </c>
      <c r="O105" s="46"/>
    </row>
    <row r="106" customFormat="false" ht="15" hidden="false" customHeight="false" outlineLevel="0" collapsed="false">
      <c r="A106" s="44" t="n">
        <v>1777</v>
      </c>
      <c r="B106" s="45" t="n">
        <v>208</v>
      </c>
      <c r="C106" s="46" t="n">
        <v>349.7</v>
      </c>
      <c r="D106" s="46" t="n">
        <v>357.4</v>
      </c>
      <c r="E106" s="46" t="n">
        <v>788.3</v>
      </c>
      <c r="F106" s="46" t="n">
        <v>5079.8</v>
      </c>
      <c r="G106" s="45" t="n">
        <v>33.15</v>
      </c>
      <c r="H106" s="46" t="n">
        <v>4859.9</v>
      </c>
      <c r="I106" s="46" t="n">
        <v>7777</v>
      </c>
      <c r="J106" s="46" t="n">
        <v>7099.4</v>
      </c>
      <c r="K106" s="46" t="n">
        <v>677.6</v>
      </c>
      <c r="L106" s="47" t="n">
        <v>0</v>
      </c>
      <c r="M106" s="47" t="n">
        <v>0</v>
      </c>
      <c r="N106" s="46" t="n">
        <v>12081.2</v>
      </c>
      <c r="O106" s="46"/>
    </row>
    <row r="107" customFormat="false" ht="15" hidden="false" customHeight="false" outlineLevel="0" collapsed="false">
      <c r="A107" s="44" t="n">
        <v>1794</v>
      </c>
      <c r="B107" s="45" t="n">
        <v>210</v>
      </c>
      <c r="C107" s="46" t="n">
        <v>345.3</v>
      </c>
      <c r="D107" s="46" t="n">
        <v>348.1</v>
      </c>
      <c r="E107" s="46" t="n">
        <v>789.8</v>
      </c>
      <c r="F107" s="46" t="n">
        <v>5079.8</v>
      </c>
      <c r="G107" s="45" t="n">
        <v>33.3</v>
      </c>
      <c r="H107" s="46" t="n">
        <v>4838.6</v>
      </c>
      <c r="I107" s="46" t="n">
        <v>7736.1</v>
      </c>
      <c r="J107" s="46" t="n">
        <v>7055.5</v>
      </c>
      <c r="K107" s="46" t="n">
        <v>680.6</v>
      </c>
      <c r="L107" s="47" t="n">
        <v>0</v>
      </c>
      <c r="M107" s="47" t="n">
        <v>0</v>
      </c>
      <c r="N107" s="46" t="n">
        <v>12341.3</v>
      </c>
      <c r="O107" s="46"/>
    </row>
    <row r="108" customFormat="false" ht="15" hidden="false" customHeight="false" outlineLevel="0" collapsed="false">
      <c r="A108" s="44" t="n">
        <v>1806</v>
      </c>
      <c r="B108" s="45" t="n">
        <v>211.33</v>
      </c>
      <c r="C108" s="46" t="n">
        <v>342.4</v>
      </c>
      <c r="D108" s="46" t="n">
        <v>342.4</v>
      </c>
      <c r="E108" s="46" t="n">
        <v>790.9</v>
      </c>
      <c r="F108" s="46" t="n">
        <v>5079.8</v>
      </c>
      <c r="G108" s="45" t="n">
        <v>33.39</v>
      </c>
      <c r="H108" s="46" t="n">
        <v>4824.4</v>
      </c>
      <c r="I108" s="46" t="n">
        <v>7708.9</v>
      </c>
      <c r="J108" s="46" t="n">
        <v>7026.3</v>
      </c>
      <c r="K108" s="46" t="n">
        <v>682.6</v>
      </c>
      <c r="L108" s="47" t="n">
        <v>0</v>
      </c>
      <c r="M108" s="47" t="n">
        <v>0</v>
      </c>
      <c r="N108" s="46" t="n">
        <v>12500</v>
      </c>
      <c r="O108" s="46"/>
    </row>
    <row r="109" customFormat="false" ht="15" hidden="false" customHeight="false" outlineLevel="0" collapsed="false">
      <c r="A109" s="44" t="n">
        <v>1811</v>
      </c>
      <c r="B109" s="45" t="n">
        <v>212</v>
      </c>
      <c r="C109" s="46" t="n">
        <v>342.4</v>
      </c>
      <c r="D109" s="46" t="n">
        <v>342.4</v>
      </c>
      <c r="E109" s="46" t="n">
        <v>790.5</v>
      </c>
      <c r="F109" s="46" t="n">
        <v>5078.9</v>
      </c>
      <c r="G109" s="45" t="n">
        <v>33.45</v>
      </c>
      <c r="H109" s="46" t="n">
        <v>4816.3</v>
      </c>
      <c r="I109" s="46" t="n">
        <v>7695.3</v>
      </c>
      <c r="J109" s="46" t="n">
        <v>7011.5</v>
      </c>
      <c r="K109" s="46" t="n">
        <v>683.7</v>
      </c>
      <c r="L109" s="47" t="n">
        <v>0</v>
      </c>
      <c r="M109" s="47" t="n">
        <v>0</v>
      </c>
      <c r="N109" s="46" t="n">
        <v>12500</v>
      </c>
      <c r="O109" s="46" t="n">
        <v>12473.2</v>
      </c>
    </row>
    <row r="110" customFormat="false" ht="15" hidden="false" customHeight="false" outlineLevel="0" collapsed="false">
      <c r="A110" s="44" t="n">
        <v>1828</v>
      </c>
      <c r="B110" s="45" t="n">
        <v>214</v>
      </c>
      <c r="C110" s="46" t="n">
        <v>342.4</v>
      </c>
      <c r="D110" s="46" t="n">
        <v>342.4</v>
      </c>
      <c r="E110" s="46" t="n">
        <v>789.2</v>
      </c>
      <c r="F110" s="46" t="n">
        <v>5075.7</v>
      </c>
      <c r="G110" s="45" t="n">
        <v>33.62</v>
      </c>
      <c r="H110" s="46" t="n">
        <v>4791.9</v>
      </c>
      <c r="I110" s="46" t="n">
        <v>7654.4</v>
      </c>
      <c r="J110" s="46" t="n">
        <v>6967.1</v>
      </c>
      <c r="K110" s="46" t="n">
        <v>687.2</v>
      </c>
      <c r="L110" s="47" t="n">
        <v>0</v>
      </c>
      <c r="M110" s="47" t="n">
        <v>0</v>
      </c>
      <c r="N110" s="46" t="n">
        <v>12500</v>
      </c>
      <c r="O110" s="46" t="n">
        <v>12386.9</v>
      </c>
    </row>
    <row r="111" customFormat="false" ht="15" hidden="false" customHeight="false" outlineLevel="0" collapsed="false">
      <c r="A111" s="44" t="n">
        <v>1846</v>
      </c>
      <c r="B111" s="45" t="n">
        <v>216</v>
      </c>
      <c r="C111" s="46" t="n">
        <v>342.4</v>
      </c>
      <c r="D111" s="46" t="n">
        <v>342.4</v>
      </c>
      <c r="E111" s="46" t="n">
        <v>788.2</v>
      </c>
      <c r="F111" s="46" t="n">
        <v>5072.9</v>
      </c>
      <c r="G111" s="45" t="n">
        <v>33.79</v>
      </c>
      <c r="H111" s="46" t="n">
        <v>4767.8</v>
      </c>
      <c r="I111" s="46" t="n">
        <v>7613.5</v>
      </c>
      <c r="J111" s="46" t="n">
        <v>6922.8</v>
      </c>
      <c r="K111" s="46" t="n">
        <v>690.7</v>
      </c>
      <c r="L111" s="47" t="n">
        <v>0</v>
      </c>
      <c r="M111" s="47" t="n">
        <v>0</v>
      </c>
      <c r="N111" s="46" t="n">
        <v>12500</v>
      </c>
      <c r="O111" s="46" t="n">
        <v>12309.7</v>
      </c>
    </row>
    <row r="112" customFormat="false" ht="15" hidden="false" customHeight="false" outlineLevel="0" collapsed="false">
      <c r="A112" s="44" t="n">
        <v>1863</v>
      </c>
      <c r="B112" s="45" t="n">
        <v>218</v>
      </c>
      <c r="C112" s="46" t="n">
        <v>342.4</v>
      </c>
      <c r="D112" s="46" t="n">
        <v>342.4</v>
      </c>
      <c r="E112" s="46" t="n">
        <v>787.2</v>
      </c>
      <c r="F112" s="46" t="n">
        <v>5070</v>
      </c>
      <c r="G112" s="45" t="n">
        <v>33.96</v>
      </c>
      <c r="H112" s="46" t="n">
        <v>4743.7</v>
      </c>
      <c r="I112" s="46" t="n">
        <v>7572.6</v>
      </c>
      <c r="J112" s="46" t="n">
        <v>6878.4</v>
      </c>
      <c r="K112" s="46" t="n">
        <v>694.2</v>
      </c>
      <c r="L112" s="47" t="n">
        <v>0</v>
      </c>
      <c r="M112" s="47" t="n">
        <v>0</v>
      </c>
      <c r="N112" s="46" t="n">
        <v>12500</v>
      </c>
      <c r="O112" s="46" t="n">
        <v>12232.6</v>
      </c>
    </row>
    <row r="113" customFormat="false" ht="15" hidden="false" customHeight="false" outlineLevel="0" collapsed="false">
      <c r="A113" s="44" t="n">
        <v>1880</v>
      </c>
      <c r="B113" s="45" t="n">
        <v>220</v>
      </c>
      <c r="C113" s="46" t="n">
        <v>342.4</v>
      </c>
      <c r="D113" s="46" t="n">
        <v>342.4</v>
      </c>
      <c r="E113" s="46" t="n">
        <v>786.2</v>
      </c>
      <c r="F113" s="46" t="n">
        <v>5067.2</v>
      </c>
      <c r="G113" s="45" t="n">
        <v>34.14</v>
      </c>
      <c r="H113" s="46" t="n">
        <v>4719.6</v>
      </c>
      <c r="I113" s="46" t="n">
        <v>7531.7</v>
      </c>
      <c r="J113" s="46" t="n">
        <v>6834</v>
      </c>
      <c r="K113" s="46" t="n">
        <v>697.8</v>
      </c>
      <c r="L113" s="47" t="n">
        <v>0</v>
      </c>
      <c r="M113" s="47" t="n">
        <v>0</v>
      </c>
      <c r="N113" s="46" t="n">
        <v>12500</v>
      </c>
      <c r="O113" s="46" t="n">
        <v>12155.4</v>
      </c>
    </row>
    <row r="114" customFormat="false" ht="15" hidden="false" customHeight="false" outlineLevel="0" collapsed="false">
      <c r="A114" s="44" t="n">
        <v>1897</v>
      </c>
      <c r="B114" s="45" t="n">
        <v>222</v>
      </c>
      <c r="C114" s="46" t="n">
        <v>342.4</v>
      </c>
      <c r="D114" s="46" t="n">
        <v>342.4</v>
      </c>
      <c r="E114" s="46" t="n">
        <v>785.3</v>
      </c>
      <c r="F114" s="46" t="n">
        <v>5064.4</v>
      </c>
      <c r="G114" s="45" t="n">
        <v>34.31</v>
      </c>
      <c r="H114" s="46" t="n">
        <v>4695.5</v>
      </c>
      <c r="I114" s="46" t="n">
        <v>7490.8</v>
      </c>
      <c r="J114" s="46" t="n">
        <v>6789.5</v>
      </c>
      <c r="K114" s="46" t="n">
        <v>701.3</v>
      </c>
      <c r="L114" s="47" t="n">
        <v>0</v>
      </c>
      <c r="M114" s="47" t="n">
        <v>0</v>
      </c>
      <c r="N114" s="46" t="n">
        <v>12500</v>
      </c>
      <c r="O114" s="46" t="n">
        <v>12078.3</v>
      </c>
    </row>
    <row r="115" customFormat="false" ht="15" hidden="false" customHeight="false" outlineLevel="0" collapsed="false">
      <c r="A115" s="44" t="n">
        <v>1914</v>
      </c>
      <c r="B115" s="45" t="n">
        <v>224</v>
      </c>
      <c r="C115" s="46" t="n">
        <v>342.4</v>
      </c>
      <c r="D115" s="46" t="n">
        <v>342.4</v>
      </c>
      <c r="E115" s="46" t="n">
        <v>784.5</v>
      </c>
      <c r="F115" s="46" t="n">
        <v>5061.7</v>
      </c>
      <c r="G115" s="45" t="n">
        <v>34.49</v>
      </c>
      <c r="H115" s="46" t="n">
        <v>4671.6</v>
      </c>
      <c r="I115" s="46" t="n">
        <v>7450</v>
      </c>
      <c r="J115" s="46" t="n">
        <v>6745</v>
      </c>
      <c r="K115" s="46" t="n">
        <v>704.9</v>
      </c>
      <c r="L115" s="47" t="n">
        <v>0</v>
      </c>
      <c r="M115" s="47" t="n">
        <v>0</v>
      </c>
      <c r="N115" s="46" t="n">
        <v>12500</v>
      </c>
      <c r="O115" s="46" t="n">
        <v>12004.9</v>
      </c>
    </row>
    <row r="116" customFormat="false" ht="15" hidden="false" customHeight="false" outlineLevel="0" collapsed="false">
      <c r="A116" s="44" t="n">
        <v>1931</v>
      </c>
      <c r="B116" s="45" t="n">
        <v>226</v>
      </c>
      <c r="C116" s="46" t="n">
        <v>342.4</v>
      </c>
      <c r="D116" s="46" t="n">
        <v>342.4</v>
      </c>
      <c r="E116" s="46" t="n">
        <v>784.7</v>
      </c>
      <c r="F116" s="46" t="n">
        <v>5060.1</v>
      </c>
      <c r="G116" s="45" t="n">
        <v>34.66</v>
      </c>
      <c r="H116" s="46" t="n">
        <v>4648.8</v>
      </c>
      <c r="I116" s="46" t="n">
        <v>7409.1</v>
      </c>
      <c r="J116" s="46" t="n">
        <v>6700.7</v>
      </c>
      <c r="K116" s="46" t="n">
        <v>708.4</v>
      </c>
      <c r="L116" s="47" t="n">
        <v>0</v>
      </c>
      <c r="M116" s="47" t="n">
        <v>0</v>
      </c>
      <c r="N116" s="46" t="n">
        <v>12500</v>
      </c>
      <c r="O116" s="46" t="n">
        <v>11961.1</v>
      </c>
    </row>
    <row r="117" customFormat="false" ht="15" hidden="false" customHeight="false" outlineLevel="0" collapsed="false">
      <c r="A117" s="44" t="n">
        <v>1948</v>
      </c>
      <c r="B117" s="45" t="n">
        <v>228</v>
      </c>
      <c r="C117" s="46" t="n">
        <v>342.4</v>
      </c>
      <c r="D117" s="46" t="n">
        <v>342.4</v>
      </c>
      <c r="E117" s="46" t="n">
        <v>784.9</v>
      </c>
      <c r="F117" s="46" t="n">
        <v>5058.5</v>
      </c>
      <c r="G117" s="45" t="n">
        <v>34.83</v>
      </c>
      <c r="H117" s="46" t="n">
        <v>4625.9</v>
      </c>
      <c r="I117" s="46" t="n">
        <v>7368.2</v>
      </c>
      <c r="J117" s="46" t="n">
        <v>6656.3</v>
      </c>
      <c r="K117" s="46" t="n">
        <v>711.9</v>
      </c>
      <c r="L117" s="47" t="n">
        <v>0</v>
      </c>
      <c r="M117" s="47" t="n">
        <v>0</v>
      </c>
      <c r="N117" s="46" t="n">
        <v>12500</v>
      </c>
      <c r="O117" s="46" t="n">
        <v>11917.6</v>
      </c>
    </row>
    <row r="118" customFormat="false" ht="15" hidden="false" customHeight="false" outlineLevel="0" collapsed="false">
      <c r="A118" s="44" t="n">
        <v>1965</v>
      </c>
      <c r="B118" s="45" t="n">
        <v>230</v>
      </c>
      <c r="C118" s="46" t="n">
        <v>342.4</v>
      </c>
      <c r="D118" s="46" t="n">
        <v>342.4</v>
      </c>
      <c r="E118" s="46" t="n">
        <v>785.2</v>
      </c>
      <c r="F118" s="46" t="n">
        <v>5056.9</v>
      </c>
      <c r="G118" s="45" t="n">
        <v>35</v>
      </c>
      <c r="H118" s="46" t="n">
        <v>4603</v>
      </c>
      <c r="I118" s="46" t="n">
        <v>7327.3</v>
      </c>
      <c r="J118" s="46" t="n">
        <v>6611.9</v>
      </c>
      <c r="K118" s="46" t="n">
        <v>715.4</v>
      </c>
      <c r="L118" s="47" t="n">
        <v>0</v>
      </c>
      <c r="M118" s="47" t="n">
        <v>0</v>
      </c>
      <c r="N118" s="46" t="n">
        <v>12500</v>
      </c>
      <c r="O118" s="46" t="n">
        <v>11874</v>
      </c>
    </row>
    <row r="119" customFormat="false" ht="15" hidden="false" customHeight="false" outlineLevel="0" collapsed="false">
      <c r="A119" s="44" t="n">
        <v>1982</v>
      </c>
      <c r="B119" s="45" t="n">
        <v>232</v>
      </c>
      <c r="C119" s="46" t="n">
        <v>342.4</v>
      </c>
      <c r="D119" s="46" t="n">
        <v>342.4</v>
      </c>
      <c r="E119" s="46" t="n">
        <v>785.5</v>
      </c>
      <c r="F119" s="46" t="n">
        <v>5055.3</v>
      </c>
      <c r="G119" s="45" t="n">
        <v>35.17</v>
      </c>
      <c r="H119" s="46" t="n">
        <v>4580.2</v>
      </c>
      <c r="I119" s="46" t="n">
        <v>7286.4</v>
      </c>
      <c r="J119" s="46" t="n">
        <v>6567.4</v>
      </c>
      <c r="K119" s="46" t="n">
        <v>719</v>
      </c>
      <c r="L119" s="47" t="n">
        <v>0</v>
      </c>
      <c r="M119" s="47" t="n">
        <v>0</v>
      </c>
      <c r="N119" s="46" t="n">
        <v>12500</v>
      </c>
      <c r="O119" s="46" t="n">
        <v>11830.4</v>
      </c>
    </row>
    <row r="120" customFormat="false" ht="15" hidden="false" customHeight="false" outlineLevel="0" collapsed="false">
      <c r="A120" s="44" t="n">
        <v>1999</v>
      </c>
      <c r="B120" s="45" t="n">
        <v>234</v>
      </c>
      <c r="C120" s="46" t="n">
        <v>342.4</v>
      </c>
      <c r="D120" s="46" t="n">
        <v>342.4</v>
      </c>
      <c r="E120" s="46" t="n">
        <v>785.8</v>
      </c>
      <c r="F120" s="46" t="n">
        <v>5053.7</v>
      </c>
      <c r="G120" s="45" t="n">
        <v>35.35</v>
      </c>
      <c r="H120" s="46" t="n">
        <v>4557.3</v>
      </c>
      <c r="I120" s="46" t="n">
        <v>7245.6</v>
      </c>
      <c r="J120" s="46" t="n">
        <v>6522.9</v>
      </c>
      <c r="K120" s="46" t="n">
        <v>722.6</v>
      </c>
      <c r="L120" s="47" t="n">
        <v>0</v>
      </c>
      <c r="M120" s="47" t="n">
        <v>0</v>
      </c>
      <c r="N120" s="46" t="n">
        <v>12500</v>
      </c>
      <c r="O120" s="46" t="n">
        <v>11786.9</v>
      </c>
    </row>
    <row r="121" customFormat="false" ht="15" hidden="false" customHeight="false" outlineLevel="0" collapsed="false">
      <c r="A121" s="44" t="n">
        <v>2016</v>
      </c>
      <c r="B121" s="45" t="n">
        <v>236</v>
      </c>
      <c r="C121" s="46" t="n">
        <v>342.4</v>
      </c>
      <c r="D121" s="46" t="n">
        <v>342.4</v>
      </c>
      <c r="E121" s="46" t="n">
        <v>786.1</v>
      </c>
      <c r="F121" s="46" t="n">
        <v>5052.1</v>
      </c>
      <c r="G121" s="45" t="n">
        <v>35.53</v>
      </c>
      <c r="H121" s="46" t="n">
        <v>4534.4</v>
      </c>
      <c r="I121" s="46" t="n">
        <v>7204.7</v>
      </c>
      <c r="J121" s="46" t="n">
        <v>6478.4</v>
      </c>
      <c r="K121" s="46" t="n">
        <v>726.3</v>
      </c>
      <c r="L121" s="47" t="n">
        <v>0</v>
      </c>
      <c r="M121" s="47" t="n">
        <v>0</v>
      </c>
      <c r="N121" s="46" t="n">
        <v>12500</v>
      </c>
      <c r="O121" s="46" t="n">
        <v>11743.3</v>
      </c>
    </row>
    <row r="122" customFormat="false" ht="15" hidden="false" customHeight="false" outlineLevel="0" collapsed="false">
      <c r="A122" s="44" t="n">
        <v>2033</v>
      </c>
      <c r="B122" s="45" t="n">
        <v>238</v>
      </c>
      <c r="C122" s="46" t="n">
        <v>342.4</v>
      </c>
      <c r="D122" s="46" t="n">
        <v>342.4</v>
      </c>
      <c r="E122" s="46" t="n">
        <v>786.5</v>
      </c>
      <c r="F122" s="46" t="n">
        <v>5050.5</v>
      </c>
      <c r="G122" s="45" t="n">
        <v>35.71</v>
      </c>
      <c r="H122" s="46" t="n">
        <v>4511.6</v>
      </c>
      <c r="I122" s="46" t="n">
        <v>7163.8</v>
      </c>
      <c r="J122" s="46" t="n">
        <v>6433.9</v>
      </c>
      <c r="K122" s="46" t="n">
        <v>729.9</v>
      </c>
      <c r="L122" s="47" t="n">
        <v>0</v>
      </c>
      <c r="M122" s="47" t="n">
        <v>0</v>
      </c>
      <c r="N122" s="46" t="n">
        <v>12500</v>
      </c>
      <c r="O122" s="46" t="n">
        <v>11699.7</v>
      </c>
    </row>
    <row r="123" customFormat="false" ht="15" hidden="false" customHeight="false" outlineLevel="0" collapsed="false">
      <c r="A123" s="44" t="n">
        <v>2051</v>
      </c>
      <c r="B123" s="45" t="n">
        <v>240</v>
      </c>
      <c r="C123" s="46" t="n">
        <v>342.4</v>
      </c>
      <c r="D123" s="46" t="n">
        <v>342.4</v>
      </c>
      <c r="E123" s="46" t="n">
        <v>786.8</v>
      </c>
      <c r="F123" s="46" t="n">
        <v>5048.9</v>
      </c>
      <c r="G123" s="45" t="n">
        <v>35.89</v>
      </c>
      <c r="H123" s="46" t="n">
        <v>4488.7</v>
      </c>
      <c r="I123" s="46" t="n">
        <v>7122.9</v>
      </c>
      <c r="J123" s="46" t="n">
        <v>6389.3</v>
      </c>
      <c r="K123" s="46" t="n">
        <v>733.7</v>
      </c>
      <c r="L123" s="47" t="n">
        <v>0</v>
      </c>
      <c r="M123" s="47" t="n">
        <v>0</v>
      </c>
      <c r="N123" s="46" t="n">
        <v>12500</v>
      </c>
      <c r="O123" s="46" t="n">
        <v>11656.1</v>
      </c>
    </row>
    <row r="124" customFormat="false" ht="15" hidden="false" customHeight="false" outlineLevel="0" collapsed="false">
      <c r="A124" s="44" t="n">
        <v>2068</v>
      </c>
      <c r="B124" s="45" t="n">
        <v>242</v>
      </c>
      <c r="C124" s="46" t="n">
        <v>342.4</v>
      </c>
      <c r="D124" s="46" t="n">
        <v>342.4</v>
      </c>
      <c r="E124" s="46" t="n">
        <v>787.2</v>
      </c>
      <c r="F124" s="46" t="n">
        <v>5047.3</v>
      </c>
      <c r="G124" s="45" t="n">
        <v>36.08</v>
      </c>
      <c r="H124" s="46" t="n">
        <v>4465.8</v>
      </c>
      <c r="I124" s="46" t="n">
        <v>7082</v>
      </c>
      <c r="J124" s="46" t="n">
        <v>6344.6</v>
      </c>
      <c r="K124" s="46" t="n">
        <v>737.4</v>
      </c>
      <c r="L124" s="47" t="n">
        <v>0</v>
      </c>
      <c r="M124" s="47" t="n">
        <v>0</v>
      </c>
      <c r="N124" s="46" t="n">
        <v>12500</v>
      </c>
      <c r="O124" s="46" t="n">
        <v>11612.6</v>
      </c>
    </row>
    <row r="125" customFormat="false" ht="15" hidden="false" customHeight="false" outlineLevel="0" collapsed="false">
      <c r="A125" s="44" t="n">
        <v>2085</v>
      </c>
      <c r="B125" s="45" t="n">
        <v>244</v>
      </c>
      <c r="C125" s="46" t="n">
        <v>342.4</v>
      </c>
      <c r="D125" s="46" t="n">
        <v>342.4</v>
      </c>
      <c r="E125" s="46" t="n">
        <v>787.5</v>
      </c>
      <c r="F125" s="46" t="n">
        <v>5045.7</v>
      </c>
      <c r="G125" s="45" t="n">
        <v>36.26</v>
      </c>
      <c r="H125" s="46" t="n">
        <v>4442.9</v>
      </c>
      <c r="I125" s="46" t="n">
        <v>7041.1</v>
      </c>
      <c r="J125" s="46" t="n">
        <v>6299.9</v>
      </c>
      <c r="K125" s="46" t="n">
        <v>741.2</v>
      </c>
      <c r="L125" s="47" t="n">
        <v>0</v>
      </c>
      <c r="M125" s="47" t="n">
        <v>0</v>
      </c>
      <c r="N125" s="46" t="n">
        <v>12500</v>
      </c>
      <c r="O125" s="46" t="n">
        <v>11569</v>
      </c>
    </row>
    <row r="126" customFormat="false" ht="15" hidden="false" customHeight="false" outlineLevel="0" collapsed="false">
      <c r="A126" s="44" t="n">
        <v>2102</v>
      </c>
      <c r="B126" s="45" t="n">
        <v>246</v>
      </c>
      <c r="C126" s="46" t="n">
        <v>342.4</v>
      </c>
      <c r="D126" s="46" t="n">
        <v>342.4</v>
      </c>
      <c r="E126" s="46" t="n">
        <v>787.9</v>
      </c>
      <c r="F126" s="46" t="n">
        <v>5044.2</v>
      </c>
      <c r="G126" s="45" t="n">
        <v>36.45</v>
      </c>
      <c r="H126" s="46" t="n">
        <v>4420</v>
      </c>
      <c r="I126" s="46" t="n">
        <v>7000.3</v>
      </c>
      <c r="J126" s="46" t="n">
        <v>6255.2</v>
      </c>
      <c r="K126" s="46" t="n">
        <v>745.1</v>
      </c>
      <c r="L126" s="47" t="n">
        <v>0</v>
      </c>
      <c r="M126" s="47" t="n">
        <v>0</v>
      </c>
      <c r="N126" s="46" t="n">
        <v>12500</v>
      </c>
      <c r="O126" s="46" t="n">
        <v>11525.4</v>
      </c>
    </row>
    <row r="127" customFormat="false" ht="15" hidden="false" customHeight="false" outlineLevel="0" collapsed="false">
      <c r="A127" s="44" t="n">
        <v>2119</v>
      </c>
      <c r="B127" s="45" t="n">
        <v>248</v>
      </c>
      <c r="C127" s="46" t="n">
        <v>342.4</v>
      </c>
      <c r="D127" s="46" t="n">
        <v>342.4</v>
      </c>
      <c r="E127" s="46" t="n">
        <v>788.4</v>
      </c>
      <c r="F127" s="46" t="n">
        <v>5042.6</v>
      </c>
      <c r="G127" s="45" t="n">
        <v>36.64</v>
      </c>
      <c r="H127" s="46" t="n">
        <v>4397.2</v>
      </c>
      <c r="I127" s="46" t="n">
        <v>6959.4</v>
      </c>
      <c r="J127" s="46" t="n">
        <v>6210.4</v>
      </c>
      <c r="K127" s="46" t="n">
        <v>748.9</v>
      </c>
      <c r="L127" s="47" t="n">
        <v>0</v>
      </c>
      <c r="M127" s="47" t="n">
        <v>0</v>
      </c>
      <c r="N127" s="46" t="n">
        <v>12500</v>
      </c>
      <c r="O127" s="46" t="n">
        <v>11481.8</v>
      </c>
    </row>
    <row r="128" customFormat="false" ht="15" hidden="false" customHeight="false" outlineLevel="0" collapsed="false">
      <c r="A128" s="44" t="n">
        <v>2136</v>
      </c>
      <c r="B128" s="45" t="n">
        <v>250</v>
      </c>
      <c r="C128" s="46" t="n">
        <v>342.4</v>
      </c>
      <c r="D128" s="46" t="n">
        <v>342.4</v>
      </c>
      <c r="E128" s="46" t="n">
        <v>788.8</v>
      </c>
      <c r="F128" s="46" t="n">
        <v>5041</v>
      </c>
      <c r="G128" s="45" t="n">
        <v>36.83</v>
      </c>
      <c r="H128" s="46" t="n">
        <v>4374.3</v>
      </c>
      <c r="I128" s="46" t="n">
        <v>6918.5</v>
      </c>
      <c r="J128" s="46" t="n">
        <v>6165.6</v>
      </c>
      <c r="K128" s="46" t="n">
        <v>752.8</v>
      </c>
      <c r="L128" s="47" t="n">
        <v>0</v>
      </c>
      <c r="M128" s="47" t="n">
        <v>0</v>
      </c>
      <c r="N128" s="46" t="n">
        <v>12500</v>
      </c>
      <c r="O128" s="46" t="n">
        <v>11438.3</v>
      </c>
    </row>
    <row r="129" customFormat="false" ht="15" hidden="false" customHeight="false" outlineLevel="0" collapsed="false">
      <c r="A129" s="44" t="n">
        <v>2153</v>
      </c>
      <c r="B129" s="45" t="n">
        <v>252</v>
      </c>
      <c r="C129" s="46" t="n">
        <v>342.4</v>
      </c>
      <c r="D129" s="46" t="n">
        <v>342.4</v>
      </c>
      <c r="E129" s="46" t="n">
        <v>789.3</v>
      </c>
      <c r="F129" s="46" t="n">
        <v>5039.4</v>
      </c>
      <c r="G129" s="45" t="n">
        <v>37.02</v>
      </c>
      <c r="H129" s="46" t="n">
        <v>4351.4</v>
      </c>
      <c r="I129" s="46" t="n">
        <v>6877.6</v>
      </c>
      <c r="J129" s="46" t="n">
        <v>6120.8</v>
      </c>
      <c r="K129" s="46" t="n">
        <v>756.8</v>
      </c>
      <c r="L129" s="47" t="n">
        <v>0</v>
      </c>
      <c r="M129" s="47" t="n">
        <v>0</v>
      </c>
      <c r="N129" s="46" t="n">
        <v>12500</v>
      </c>
      <c r="O129" s="46" t="n">
        <v>11394.7</v>
      </c>
    </row>
    <row r="130" customFormat="false" ht="15" hidden="false" customHeight="false" outlineLevel="0" collapsed="false">
      <c r="A130" s="44" t="n">
        <v>2170</v>
      </c>
      <c r="B130" s="45" t="n">
        <v>254</v>
      </c>
      <c r="C130" s="46" t="n">
        <v>342.4</v>
      </c>
      <c r="D130" s="46" t="n">
        <v>342.4</v>
      </c>
      <c r="E130" s="46" t="n">
        <v>789.8</v>
      </c>
      <c r="F130" s="46" t="n">
        <v>5037.8</v>
      </c>
      <c r="G130" s="45" t="n">
        <v>37.22</v>
      </c>
      <c r="H130" s="46" t="n">
        <v>4328.5</v>
      </c>
      <c r="I130" s="46" t="n">
        <v>6836.7</v>
      </c>
      <c r="J130" s="46" t="n">
        <v>6075.9</v>
      </c>
      <c r="K130" s="46" t="n">
        <v>760.8</v>
      </c>
      <c r="L130" s="47" t="n">
        <v>0</v>
      </c>
      <c r="M130" s="47" t="n">
        <v>0</v>
      </c>
      <c r="N130" s="46" t="n">
        <v>12500</v>
      </c>
      <c r="O130" s="46" t="n">
        <v>11351.1</v>
      </c>
    </row>
    <row r="131" customFormat="false" ht="15" hidden="false" customHeight="false" outlineLevel="0" collapsed="false">
      <c r="A131" s="44" t="n">
        <v>2187</v>
      </c>
      <c r="B131" s="45" t="n">
        <v>256</v>
      </c>
      <c r="C131" s="46" t="n">
        <v>342.4</v>
      </c>
      <c r="D131" s="46" t="n">
        <v>342.4</v>
      </c>
      <c r="E131" s="46" t="n">
        <v>790.3</v>
      </c>
      <c r="F131" s="46" t="n">
        <v>5036.2</v>
      </c>
      <c r="G131" s="45" t="n">
        <v>37.42</v>
      </c>
      <c r="H131" s="46" t="n">
        <v>4305.6</v>
      </c>
      <c r="I131" s="46" t="n">
        <v>6795.9</v>
      </c>
      <c r="J131" s="46" t="n">
        <v>6031</v>
      </c>
      <c r="K131" s="46" t="n">
        <v>764.8</v>
      </c>
      <c r="L131" s="47" t="n">
        <v>0</v>
      </c>
      <c r="M131" s="47" t="n">
        <v>0</v>
      </c>
      <c r="N131" s="46" t="n">
        <v>12500</v>
      </c>
      <c r="O131" s="46" t="n">
        <v>11307.6</v>
      </c>
    </row>
    <row r="132" customFormat="false" ht="15" hidden="false" customHeight="false" outlineLevel="0" collapsed="false">
      <c r="A132" s="44" t="n">
        <v>2204</v>
      </c>
      <c r="B132" s="45" t="n">
        <v>258</v>
      </c>
      <c r="C132" s="46" t="n">
        <v>342.4</v>
      </c>
      <c r="D132" s="46" t="n">
        <v>342.4</v>
      </c>
      <c r="E132" s="46" t="n">
        <v>790.8</v>
      </c>
      <c r="F132" s="46" t="n">
        <v>5034.6</v>
      </c>
      <c r="G132" s="45" t="n">
        <v>37.62</v>
      </c>
      <c r="H132" s="46" t="n">
        <v>4282.8</v>
      </c>
      <c r="I132" s="46" t="n">
        <v>6755</v>
      </c>
      <c r="J132" s="46" t="n">
        <v>5986</v>
      </c>
      <c r="K132" s="46" t="n">
        <v>768.9</v>
      </c>
      <c r="L132" s="47" t="n">
        <v>0</v>
      </c>
      <c r="M132" s="47" t="n">
        <v>0</v>
      </c>
      <c r="N132" s="46" t="n">
        <v>12500</v>
      </c>
      <c r="O132" s="46" t="n">
        <v>11264</v>
      </c>
    </row>
    <row r="133" customFormat="false" ht="15" hidden="false" customHeight="false" outlineLevel="0" collapsed="false">
      <c r="A133" s="44" t="n">
        <v>2221</v>
      </c>
      <c r="B133" s="45" t="n">
        <v>260</v>
      </c>
      <c r="C133" s="46" t="n">
        <v>342.4</v>
      </c>
      <c r="D133" s="46" t="n">
        <v>342.4</v>
      </c>
      <c r="E133" s="46" t="n">
        <v>791.4</v>
      </c>
      <c r="F133" s="46" t="n">
        <v>5033</v>
      </c>
      <c r="G133" s="45" t="n">
        <v>37.82</v>
      </c>
      <c r="H133" s="46" t="n">
        <v>4259.9</v>
      </c>
      <c r="I133" s="46" t="n">
        <v>6714.1</v>
      </c>
      <c r="J133" s="46" t="n">
        <v>5941</v>
      </c>
      <c r="K133" s="46" t="n">
        <v>773.1</v>
      </c>
      <c r="L133" s="47" t="n">
        <v>0</v>
      </c>
      <c r="M133" s="47" t="n">
        <v>0</v>
      </c>
      <c r="N133" s="46" t="n">
        <v>12500</v>
      </c>
      <c r="O133" s="46" t="n">
        <v>11220.4</v>
      </c>
    </row>
    <row r="134" customFormat="false" ht="15" hidden="false" customHeight="false" outlineLevel="0" collapsed="false">
      <c r="A134" s="44" t="n">
        <v>2239</v>
      </c>
      <c r="B134" s="45" t="n">
        <v>262</v>
      </c>
      <c r="C134" s="46" t="n">
        <v>342.4</v>
      </c>
      <c r="D134" s="46" t="n">
        <v>342.4</v>
      </c>
      <c r="E134" s="46" t="n">
        <v>792.1</v>
      </c>
      <c r="F134" s="46" t="n">
        <v>5031.4</v>
      </c>
      <c r="G134" s="45" t="n">
        <v>38.02</v>
      </c>
      <c r="H134" s="46" t="n">
        <v>4237</v>
      </c>
      <c r="I134" s="46" t="n">
        <v>6673.2</v>
      </c>
      <c r="J134" s="46" t="n">
        <v>5896</v>
      </c>
      <c r="K134" s="46" t="n">
        <v>777.2</v>
      </c>
      <c r="L134" s="47" t="n">
        <v>0</v>
      </c>
      <c r="M134" s="47" t="n">
        <v>0</v>
      </c>
      <c r="N134" s="46" t="n">
        <v>12500</v>
      </c>
      <c r="O134" s="46" t="n">
        <v>11176.8</v>
      </c>
    </row>
    <row r="135" customFormat="false" ht="15" hidden="false" customHeight="false" outlineLevel="0" collapsed="false">
      <c r="A135" s="44" t="n">
        <v>2256</v>
      </c>
      <c r="B135" s="45" t="n">
        <v>264</v>
      </c>
      <c r="C135" s="46" t="n">
        <v>342.4</v>
      </c>
      <c r="D135" s="46" t="n">
        <v>342.4</v>
      </c>
      <c r="E135" s="46" t="n">
        <v>792.7</v>
      </c>
      <c r="F135" s="46" t="n">
        <v>5029.8</v>
      </c>
      <c r="G135" s="45" t="n">
        <v>38.23</v>
      </c>
      <c r="H135" s="46" t="n">
        <v>4214.1</v>
      </c>
      <c r="I135" s="46" t="n">
        <v>6632.3</v>
      </c>
      <c r="J135" s="46" t="n">
        <v>5850.9</v>
      </c>
      <c r="K135" s="46" t="n">
        <v>781.5</v>
      </c>
      <c r="L135" s="47" t="n">
        <v>0</v>
      </c>
      <c r="M135" s="47" t="n">
        <v>0</v>
      </c>
      <c r="N135" s="46" t="n">
        <v>12500</v>
      </c>
      <c r="O135" s="46" t="n">
        <v>11133.3</v>
      </c>
    </row>
    <row r="136" customFormat="false" ht="15" hidden="false" customHeight="false" outlineLevel="0" collapsed="false">
      <c r="A136" s="44" t="n">
        <v>2273</v>
      </c>
      <c r="B136" s="45" t="n">
        <v>266</v>
      </c>
      <c r="C136" s="46" t="n">
        <v>342.4</v>
      </c>
      <c r="D136" s="46" t="n">
        <v>342.4</v>
      </c>
      <c r="E136" s="46" t="n">
        <v>793.3</v>
      </c>
      <c r="F136" s="46" t="n">
        <v>5028.2</v>
      </c>
      <c r="G136" s="45" t="n">
        <v>38.44</v>
      </c>
      <c r="H136" s="46" t="n">
        <v>4191.3</v>
      </c>
      <c r="I136" s="46" t="n">
        <v>6591.4</v>
      </c>
      <c r="J136" s="46" t="n">
        <v>5805.7</v>
      </c>
      <c r="K136" s="46" t="n">
        <v>785.7</v>
      </c>
      <c r="L136" s="47" t="n">
        <v>0</v>
      </c>
      <c r="M136" s="47" t="n">
        <v>0</v>
      </c>
      <c r="N136" s="46" t="n">
        <v>12500</v>
      </c>
      <c r="O136" s="46" t="n">
        <v>11089.7</v>
      </c>
    </row>
    <row r="137" customFormat="false" ht="15" hidden="false" customHeight="false" outlineLevel="0" collapsed="false">
      <c r="A137" s="44" t="n">
        <v>2290</v>
      </c>
      <c r="B137" s="45" t="n">
        <v>268</v>
      </c>
      <c r="C137" s="46" t="n">
        <v>342.4</v>
      </c>
      <c r="D137" s="46" t="n">
        <v>342.4</v>
      </c>
      <c r="E137" s="46" t="n">
        <v>793.9</v>
      </c>
      <c r="F137" s="46" t="n">
        <v>5026.6</v>
      </c>
      <c r="G137" s="45" t="n">
        <v>38.65</v>
      </c>
      <c r="H137" s="46" t="n">
        <v>4168.4</v>
      </c>
      <c r="I137" s="46" t="n">
        <v>6550.6</v>
      </c>
      <c r="J137" s="46" t="n">
        <v>5760.5</v>
      </c>
      <c r="K137" s="46" t="n">
        <v>790</v>
      </c>
      <c r="L137" s="47" t="n">
        <v>0</v>
      </c>
      <c r="M137" s="47" t="n">
        <v>0</v>
      </c>
      <c r="N137" s="46" t="n">
        <v>12500</v>
      </c>
      <c r="O137" s="46" t="n">
        <v>11046.1</v>
      </c>
    </row>
    <row r="138" customFormat="false" ht="15" hidden="false" customHeight="false" outlineLevel="0" collapsed="false">
      <c r="A138" s="44" t="n">
        <v>2307</v>
      </c>
      <c r="B138" s="45" t="n">
        <v>270</v>
      </c>
      <c r="C138" s="46" t="n">
        <v>342.4</v>
      </c>
      <c r="D138" s="46" t="n">
        <v>342.4</v>
      </c>
      <c r="E138" s="46" t="n">
        <v>794.6</v>
      </c>
      <c r="F138" s="46" t="n">
        <v>5025</v>
      </c>
      <c r="G138" s="45" t="n">
        <v>38.86</v>
      </c>
      <c r="H138" s="46" t="n">
        <v>4145.5</v>
      </c>
      <c r="I138" s="46" t="n">
        <v>6509.7</v>
      </c>
      <c r="J138" s="46" t="n">
        <v>5715.3</v>
      </c>
      <c r="K138" s="46" t="n">
        <v>794.4</v>
      </c>
      <c r="L138" s="47" t="n">
        <v>0</v>
      </c>
      <c r="M138" s="47" t="n">
        <v>0</v>
      </c>
      <c r="N138" s="46" t="n">
        <v>12500</v>
      </c>
      <c r="O138" s="46" t="n">
        <v>11002.5</v>
      </c>
    </row>
    <row r="139" customFormat="false" ht="15" hidden="false" customHeight="false" outlineLevel="0" collapsed="false">
      <c r="A139" s="44" t="n">
        <v>2324</v>
      </c>
      <c r="B139" s="45" t="n">
        <v>272</v>
      </c>
      <c r="C139" s="46" t="n">
        <v>342.4</v>
      </c>
      <c r="D139" s="46" t="n">
        <v>342.4</v>
      </c>
      <c r="E139" s="46" t="n">
        <v>795.3</v>
      </c>
      <c r="F139" s="46" t="n">
        <v>5023.4</v>
      </c>
      <c r="G139" s="45" t="n">
        <v>39.08</v>
      </c>
      <c r="H139" s="46" t="n">
        <v>4122.6</v>
      </c>
      <c r="I139" s="46" t="n">
        <v>6468.8</v>
      </c>
      <c r="J139" s="46" t="n">
        <v>5670</v>
      </c>
      <c r="K139" s="46" t="n">
        <v>798.8</v>
      </c>
      <c r="L139" s="47" t="n">
        <v>0</v>
      </c>
      <c r="M139" s="47" t="n">
        <v>0</v>
      </c>
      <c r="N139" s="46" t="n">
        <v>12500</v>
      </c>
      <c r="O139" s="46" t="n">
        <v>10959</v>
      </c>
    </row>
    <row r="140" customFormat="false" ht="15" hidden="false" customHeight="false" outlineLevel="0" collapsed="false">
      <c r="A140" s="44" t="n">
        <v>2341</v>
      </c>
      <c r="B140" s="45" t="n">
        <v>274</v>
      </c>
      <c r="C140" s="46" t="n">
        <v>342.4</v>
      </c>
      <c r="D140" s="46" t="n">
        <v>342.4</v>
      </c>
      <c r="E140" s="46" t="n">
        <v>796</v>
      </c>
      <c r="F140" s="46" t="n">
        <v>5021.8</v>
      </c>
      <c r="G140" s="45" t="n">
        <v>39.3</v>
      </c>
      <c r="H140" s="46" t="n">
        <v>4099.7</v>
      </c>
      <c r="I140" s="46" t="n">
        <v>6427.9</v>
      </c>
      <c r="J140" s="46" t="n">
        <v>5624.6</v>
      </c>
      <c r="K140" s="46" t="n">
        <v>803.3</v>
      </c>
      <c r="L140" s="47" t="n">
        <v>0</v>
      </c>
      <c r="M140" s="47" t="n">
        <v>0</v>
      </c>
      <c r="N140" s="46" t="n">
        <v>12500</v>
      </c>
      <c r="O140" s="46" t="n">
        <v>10915.4</v>
      </c>
    </row>
    <row r="141" customFormat="false" ht="15" hidden="false" customHeight="false" outlineLevel="0" collapsed="false">
      <c r="A141" s="44" t="n">
        <v>2358</v>
      </c>
      <c r="B141" s="45" t="n">
        <v>276</v>
      </c>
      <c r="C141" s="46" t="n">
        <v>342.4</v>
      </c>
      <c r="D141" s="46" t="n">
        <v>342.4</v>
      </c>
      <c r="E141" s="46" t="n">
        <v>796.7</v>
      </c>
      <c r="F141" s="46" t="n">
        <v>5020.2</v>
      </c>
      <c r="G141" s="45" t="n">
        <v>39.52</v>
      </c>
      <c r="H141" s="46" t="n">
        <v>4076.8</v>
      </c>
      <c r="I141" s="46" t="n">
        <v>6387</v>
      </c>
      <c r="J141" s="46" t="n">
        <v>5579.2</v>
      </c>
      <c r="K141" s="46" t="n">
        <v>807.8</v>
      </c>
      <c r="L141" s="47" t="n">
        <v>0</v>
      </c>
      <c r="M141" s="47" t="n">
        <v>0</v>
      </c>
      <c r="N141" s="46" t="n">
        <v>12500</v>
      </c>
      <c r="O141" s="46" t="n">
        <v>10871.8</v>
      </c>
    </row>
    <row r="142" customFormat="false" ht="15" hidden="false" customHeight="false" outlineLevel="0" collapsed="false">
      <c r="A142" s="44" t="n">
        <v>2375</v>
      </c>
      <c r="B142" s="45" t="n">
        <v>278</v>
      </c>
      <c r="C142" s="46" t="n">
        <v>342.4</v>
      </c>
      <c r="D142" s="46" t="n">
        <v>342.4</v>
      </c>
      <c r="E142" s="46" t="n">
        <v>797.4</v>
      </c>
      <c r="F142" s="46" t="n">
        <v>5018.6</v>
      </c>
      <c r="G142" s="45" t="n">
        <v>39.74</v>
      </c>
      <c r="H142" s="46" t="n">
        <v>4053.9</v>
      </c>
      <c r="I142" s="46" t="n">
        <v>6346.2</v>
      </c>
      <c r="J142" s="46" t="n">
        <v>5533.8</v>
      </c>
      <c r="K142" s="46" t="n">
        <v>812.3</v>
      </c>
      <c r="L142" s="47" t="n">
        <v>0</v>
      </c>
      <c r="M142" s="47" t="n">
        <v>0</v>
      </c>
      <c r="N142" s="46" t="n">
        <v>12500</v>
      </c>
      <c r="O142" s="46" t="n">
        <v>10828.3</v>
      </c>
    </row>
    <row r="143" customFormat="false" ht="15" hidden="false" customHeight="false" outlineLevel="0" collapsed="false">
      <c r="A143" s="44" t="n">
        <v>2392</v>
      </c>
      <c r="B143" s="45" t="n">
        <v>280</v>
      </c>
      <c r="C143" s="46" t="n">
        <v>342.4</v>
      </c>
      <c r="D143" s="46" t="n">
        <v>342.4</v>
      </c>
      <c r="E143" s="46" t="n">
        <v>798.2</v>
      </c>
      <c r="F143" s="46" t="n">
        <v>5017</v>
      </c>
      <c r="G143" s="45" t="n">
        <v>39.97</v>
      </c>
      <c r="H143" s="46" t="n">
        <v>4031</v>
      </c>
      <c r="I143" s="46" t="n">
        <v>6305.3</v>
      </c>
      <c r="J143" s="46" t="n">
        <v>5488.3</v>
      </c>
      <c r="K143" s="46" t="n">
        <v>817</v>
      </c>
      <c r="L143" s="47" t="n">
        <v>0</v>
      </c>
      <c r="M143" s="47" t="n">
        <v>0</v>
      </c>
      <c r="N143" s="46" t="n">
        <v>12500</v>
      </c>
      <c r="O143" s="46" t="n">
        <v>10784.7</v>
      </c>
    </row>
    <row r="144" customFormat="false" ht="15" hidden="false" customHeight="false" outlineLevel="0" collapsed="false">
      <c r="A144" s="44" t="n">
        <v>2409</v>
      </c>
      <c r="B144" s="45" t="n">
        <v>282</v>
      </c>
      <c r="C144" s="46" t="n">
        <v>342.4</v>
      </c>
      <c r="D144" s="46" t="n">
        <v>342.4</v>
      </c>
      <c r="E144" s="46" t="n">
        <v>799.1</v>
      </c>
      <c r="F144" s="46" t="n">
        <v>5015.4</v>
      </c>
      <c r="G144" s="45" t="n">
        <v>40.19</v>
      </c>
      <c r="H144" s="46" t="n">
        <v>4008.2</v>
      </c>
      <c r="I144" s="46" t="n">
        <v>6264.4</v>
      </c>
      <c r="J144" s="46" t="n">
        <v>5442.8</v>
      </c>
      <c r="K144" s="46" t="n">
        <v>821.6</v>
      </c>
      <c r="L144" s="47" t="n">
        <v>0</v>
      </c>
      <c r="M144" s="47" t="n">
        <v>0</v>
      </c>
      <c r="N144" s="46" t="n">
        <v>12500</v>
      </c>
      <c r="O144" s="46" t="n">
        <v>10741.1</v>
      </c>
    </row>
    <row r="145" customFormat="false" ht="15" hidden="false" customHeight="false" outlineLevel="0" collapsed="false">
      <c r="A145" s="44" t="n">
        <v>2427</v>
      </c>
      <c r="B145" s="45" t="n">
        <v>284</v>
      </c>
      <c r="C145" s="46" t="n">
        <v>342.4</v>
      </c>
      <c r="D145" s="46" t="n">
        <v>342.4</v>
      </c>
      <c r="E145" s="46" t="n">
        <v>799.9</v>
      </c>
      <c r="F145" s="46" t="n">
        <v>5013.8</v>
      </c>
      <c r="G145" s="45" t="n">
        <v>40.43</v>
      </c>
      <c r="H145" s="46" t="n">
        <v>3985.3</v>
      </c>
      <c r="I145" s="46" t="n">
        <v>6223.5</v>
      </c>
      <c r="J145" s="46" t="n">
        <v>5397.2</v>
      </c>
      <c r="K145" s="46" t="n">
        <v>826.3</v>
      </c>
      <c r="L145" s="47" t="n">
        <v>0</v>
      </c>
      <c r="M145" s="47" t="n">
        <v>0</v>
      </c>
      <c r="N145" s="46" t="n">
        <v>12500</v>
      </c>
      <c r="O145" s="46" t="n">
        <v>10697.5</v>
      </c>
    </row>
    <row r="146" customFormat="false" ht="15" hidden="false" customHeight="false" outlineLevel="0" collapsed="false">
      <c r="A146" s="44" t="n">
        <v>2444</v>
      </c>
      <c r="B146" s="45" t="n">
        <v>286</v>
      </c>
      <c r="C146" s="46" t="n">
        <v>342.4</v>
      </c>
      <c r="D146" s="46" t="n">
        <v>342.4</v>
      </c>
      <c r="E146" s="46" t="n">
        <v>800.8</v>
      </c>
      <c r="F146" s="46" t="n">
        <v>5012.2</v>
      </c>
      <c r="G146" s="45" t="n">
        <v>40.66</v>
      </c>
      <c r="H146" s="46" t="n">
        <v>3962.4</v>
      </c>
      <c r="I146" s="46" t="n">
        <v>6182.6</v>
      </c>
      <c r="J146" s="46" t="n">
        <v>5351.5</v>
      </c>
      <c r="K146" s="46" t="n">
        <v>831.1</v>
      </c>
      <c r="L146" s="47" t="n">
        <v>0</v>
      </c>
      <c r="M146" s="47" t="n">
        <v>0</v>
      </c>
      <c r="N146" s="46" t="n">
        <v>12500</v>
      </c>
      <c r="O146" s="46" t="n">
        <v>10654</v>
      </c>
    </row>
    <row r="147" customFormat="false" ht="15" hidden="false" customHeight="false" outlineLevel="0" collapsed="false">
      <c r="A147" s="44" t="n">
        <v>2461</v>
      </c>
      <c r="B147" s="45" t="n">
        <v>288</v>
      </c>
      <c r="C147" s="46" t="n">
        <v>342.4</v>
      </c>
      <c r="D147" s="46" t="n">
        <v>342.4</v>
      </c>
      <c r="E147" s="46" t="n">
        <v>801.6</v>
      </c>
      <c r="F147" s="46" t="n">
        <v>5010.6</v>
      </c>
      <c r="G147" s="45" t="n">
        <v>40.89</v>
      </c>
      <c r="H147" s="46" t="n">
        <v>3939.5</v>
      </c>
      <c r="I147" s="46" t="n">
        <v>6141.7</v>
      </c>
      <c r="J147" s="46" t="n">
        <v>5305.8</v>
      </c>
      <c r="K147" s="46" t="n">
        <v>835.9</v>
      </c>
      <c r="L147" s="47" t="n">
        <v>0</v>
      </c>
      <c r="M147" s="47" t="n">
        <v>0</v>
      </c>
      <c r="N147" s="46" t="n">
        <v>12500</v>
      </c>
      <c r="O147" s="46" t="n">
        <v>10610.4</v>
      </c>
    </row>
    <row r="148" customFormat="false" ht="15" hidden="false" customHeight="false" outlineLevel="0" collapsed="false">
      <c r="A148" s="44" t="n">
        <v>2478</v>
      </c>
      <c r="B148" s="45" t="n">
        <v>290</v>
      </c>
      <c r="C148" s="46" t="n">
        <v>342.4</v>
      </c>
      <c r="D148" s="46" t="n">
        <v>342.4</v>
      </c>
      <c r="E148" s="46" t="n">
        <v>802.5</v>
      </c>
      <c r="F148" s="46" t="n">
        <v>5009</v>
      </c>
      <c r="G148" s="45" t="n">
        <v>41.13</v>
      </c>
      <c r="H148" s="46" t="n">
        <v>3916.6</v>
      </c>
      <c r="I148" s="46" t="n">
        <v>6100.9</v>
      </c>
      <c r="J148" s="46" t="n">
        <v>5260</v>
      </c>
      <c r="K148" s="46" t="n">
        <v>840.8</v>
      </c>
      <c r="L148" s="47" t="n">
        <v>0</v>
      </c>
      <c r="M148" s="47" t="n">
        <v>0</v>
      </c>
      <c r="N148" s="46" t="n">
        <v>12500</v>
      </c>
      <c r="O148" s="46" t="n">
        <v>10566.8</v>
      </c>
    </row>
    <row r="149" customFormat="false" ht="15" hidden="false" customHeight="false" outlineLevel="0" collapsed="false">
      <c r="A149" s="44" t="n">
        <v>2495</v>
      </c>
      <c r="B149" s="45" t="n">
        <v>292</v>
      </c>
      <c r="C149" s="46" t="n">
        <v>342.4</v>
      </c>
      <c r="D149" s="46" t="n">
        <v>342.4</v>
      </c>
      <c r="E149" s="46" t="n">
        <v>803.4</v>
      </c>
      <c r="F149" s="46" t="n">
        <v>5007.4</v>
      </c>
      <c r="G149" s="45" t="n">
        <v>41.38</v>
      </c>
      <c r="H149" s="46" t="n">
        <v>3893.8</v>
      </c>
      <c r="I149" s="46" t="n">
        <v>6060</v>
      </c>
      <c r="J149" s="46" t="n">
        <v>5214.2</v>
      </c>
      <c r="K149" s="46" t="n">
        <v>845.8</v>
      </c>
      <c r="L149" s="47" t="n">
        <v>0</v>
      </c>
      <c r="M149" s="47" t="n">
        <v>0</v>
      </c>
      <c r="N149" s="46" t="n">
        <v>12500</v>
      </c>
      <c r="O149" s="46" t="n">
        <v>10523.3</v>
      </c>
    </row>
    <row r="150" customFormat="false" ht="15" hidden="false" customHeight="false" outlineLevel="0" collapsed="false">
      <c r="A150" s="44" t="n">
        <v>2512</v>
      </c>
      <c r="B150" s="45" t="n">
        <v>294</v>
      </c>
      <c r="C150" s="46" t="n">
        <v>342.4</v>
      </c>
      <c r="D150" s="46" t="n">
        <v>342.4</v>
      </c>
      <c r="E150" s="46" t="n">
        <v>804.4</v>
      </c>
      <c r="F150" s="46" t="n">
        <v>5005.8</v>
      </c>
      <c r="G150" s="45" t="n">
        <v>41.62</v>
      </c>
      <c r="H150" s="46" t="n">
        <v>3870.9</v>
      </c>
      <c r="I150" s="46" t="n">
        <v>6019.1</v>
      </c>
      <c r="J150" s="46" t="n">
        <v>5168.3</v>
      </c>
      <c r="K150" s="46" t="n">
        <v>850.8</v>
      </c>
      <c r="L150" s="47" t="n">
        <v>0</v>
      </c>
      <c r="M150" s="47" t="n">
        <v>0</v>
      </c>
      <c r="N150" s="46" t="n">
        <v>12500</v>
      </c>
      <c r="O150" s="46" t="n">
        <v>10479.7</v>
      </c>
    </row>
    <row r="151" customFormat="false" ht="15" hidden="false" customHeight="false" outlineLevel="0" collapsed="false">
      <c r="A151" s="44" t="n">
        <v>2529</v>
      </c>
      <c r="B151" s="45" t="n">
        <v>296</v>
      </c>
      <c r="C151" s="46" t="n">
        <v>342.4</v>
      </c>
      <c r="D151" s="46" t="n">
        <v>342.4</v>
      </c>
      <c r="E151" s="46" t="n">
        <v>805.4</v>
      </c>
      <c r="F151" s="46" t="n">
        <v>5004.2</v>
      </c>
      <c r="G151" s="45" t="n">
        <v>41.87</v>
      </c>
      <c r="H151" s="46" t="n">
        <v>3847.9</v>
      </c>
      <c r="I151" s="46" t="n">
        <v>5978.2</v>
      </c>
      <c r="J151" s="46" t="n">
        <v>5122.4</v>
      </c>
      <c r="K151" s="46" t="n">
        <v>855.8</v>
      </c>
      <c r="L151" s="47" t="n">
        <v>0</v>
      </c>
      <c r="M151" s="47" t="n">
        <v>0</v>
      </c>
      <c r="N151" s="46" t="n">
        <v>12500</v>
      </c>
      <c r="O151" s="46" t="n">
        <v>10436.1</v>
      </c>
    </row>
    <row r="152" customFormat="false" ht="15" hidden="false" customHeight="false" outlineLevel="0" collapsed="false">
      <c r="A152" s="44" t="n">
        <v>2546</v>
      </c>
      <c r="B152" s="45" t="n">
        <v>298</v>
      </c>
      <c r="C152" s="46" t="n">
        <v>342.4</v>
      </c>
      <c r="D152" s="46" t="n">
        <v>342.4</v>
      </c>
      <c r="E152" s="46" t="n">
        <v>806.3</v>
      </c>
      <c r="F152" s="46" t="n">
        <v>5002.6</v>
      </c>
      <c r="G152" s="45" t="n">
        <v>42.12</v>
      </c>
      <c r="H152" s="46" t="n">
        <v>3825</v>
      </c>
      <c r="I152" s="46" t="n">
        <v>5937.3</v>
      </c>
      <c r="J152" s="46" t="n">
        <v>5076.4</v>
      </c>
      <c r="K152" s="46" t="n">
        <v>861</v>
      </c>
      <c r="L152" s="47" t="n">
        <v>0</v>
      </c>
      <c r="M152" s="47" t="n">
        <v>0</v>
      </c>
      <c r="N152" s="46" t="n">
        <v>12500</v>
      </c>
      <c r="O152" s="46" t="n">
        <v>10392.5</v>
      </c>
    </row>
    <row r="153" customFormat="false" ht="15" hidden="false" customHeight="false" outlineLevel="0" collapsed="false">
      <c r="A153" s="44" t="n">
        <v>2563</v>
      </c>
      <c r="B153" s="45" t="n">
        <v>300</v>
      </c>
      <c r="C153" s="46" t="n">
        <v>342.4</v>
      </c>
      <c r="D153" s="46" t="n">
        <v>342.4</v>
      </c>
      <c r="E153" s="46" t="n">
        <v>807.4</v>
      </c>
      <c r="F153" s="46" t="n">
        <v>5001.1</v>
      </c>
      <c r="G153" s="45" t="n">
        <v>42.37</v>
      </c>
      <c r="H153" s="46" t="n">
        <v>3802.1</v>
      </c>
      <c r="I153" s="46" t="n">
        <v>5896.5</v>
      </c>
      <c r="J153" s="46" t="n">
        <v>5030.3</v>
      </c>
      <c r="K153" s="46" t="n">
        <v>866.1</v>
      </c>
      <c r="L153" s="47" t="n">
        <v>0</v>
      </c>
      <c r="M153" s="47" t="n">
        <v>0</v>
      </c>
      <c r="N153" s="46" t="n">
        <v>12500</v>
      </c>
      <c r="O153" s="46" t="n">
        <v>10349</v>
      </c>
    </row>
    <row r="154" customFormat="false" ht="15" hidden="false" customHeight="false" outlineLevel="0" collapsed="false">
      <c r="A154" s="44" t="n">
        <v>2580</v>
      </c>
      <c r="B154" s="45" t="n">
        <v>302</v>
      </c>
      <c r="C154" s="46" t="n">
        <v>342.4</v>
      </c>
      <c r="D154" s="46" t="n">
        <v>342.4</v>
      </c>
      <c r="E154" s="46" t="n">
        <v>808.5</v>
      </c>
      <c r="F154" s="46" t="n">
        <v>4999.5</v>
      </c>
      <c r="G154" s="45" t="n">
        <v>42.63</v>
      </c>
      <c r="H154" s="46" t="n">
        <v>3779.2</v>
      </c>
      <c r="I154" s="46" t="n">
        <v>5855.6</v>
      </c>
      <c r="J154" s="46" t="n">
        <v>4984.2</v>
      </c>
      <c r="K154" s="46" t="n">
        <v>871.4</v>
      </c>
      <c r="L154" s="47" t="n">
        <v>0</v>
      </c>
      <c r="M154" s="47" t="n">
        <v>0</v>
      </c>
      <c r="N154" s="46" t="n">
        <v>12500</v>
      </c>
      <c r="O154" s="46" t="n">
        <v>10305.4</v>
      </c>
    </row>
    <row r="155" customFormat="false" ht="15" hidden="false" customHeight="false" outlineLevel="0" collapsed="false">
      <c r="A155" s="44" t="n">
        <v>2597</v>
      </c>
      <c r="B155" s="45" t="n">
        <v>304</v>
      </c>
      <c r="C155" s="46" t="n">
        <v>342.4</v>
      </c>
      <c r="D155" s="46" t="n">
        <v>342.4</v>
      </c>
      <c r="E155" s="46" t="n">
        <v>809.6</v>
      </c>
      <c r="F155" s="46" t="n">
        <v>4997.9</v>
      </c>
      <c r="G155" s="45" t="n">
        <v>42.89</v>
      </c>
      <c r="H155" s="46" t="n">
        <v>3756.3</v>
      </c>
      <c r="I155" s="46" t="n">
        <v>5814.7</v>
      </c>
      <c r="J155" s="46" t="n">
        <v>4938</v>
      </c>
      <c r="K155" s="46" t="n">
        <v>876.7</v>
      </c>
      <c r="L155" s="47" t="n">
        <v>0</v>
      </c>
      <c r="M155" s="47" t="n">
        <v>0</v>
      </c>
      <c r="N155" s="46" t="n">
        <v>12500</v>
      </c>
      <c r="O155" s="46" t="n">
        <v>10261.8</v>
      </c>
    </row>
    <row r="156" customFormat="false" ht="15" hidden="false" customHeight="false" outlineLevel="0" collapsed="false">
      <c r="A156" s="44" t="n">
        <v>2614</v>
      </c>
      <c r="B156" s="45" t="n">
        <v>306</v>
      </c>
      <c r="C156" s="46" t="n">
        <v>342.4</v>
      </c>
      <c r="D156" s="46" t="n">
        <v>342.4</v>
      </c>
      <c r="E156" s="46" t="n">
        <v>810.8</v>
      </c>
      <c r="F156" s="46" t="n">
        <v>4996.3</v>
      </c>
      <c r="G156" s="45" t="n">
        <v>43.15</v>
      </c>
      <c r="H156" s="46" t="n">
        <v>3733.5</v>
      </c>
      <c r="I156" s="46" t="n">
        <v>5773.8</v>
      </c>
      <c r="J156" s="46" t="n">
        <v>4891.7</v>
      </c>
      <c r="K156" s="46" t="n">
        <v>882.1</v>
      </c>
      <c r="L156" s="47" t="n">
        <v>0</v>
      </c>
      <c r="M156" s="47" t="n">
        <v>0</v>
      </c>
      <c r="N156" s="46" t="n">
        <v>12500</v>
      </c>
      <c r="O156" s="46" t="n">
        <v>10218.2</v>
      </c>
    </row>
    <row r="157" customFormat="false" ht="15" hidden="false" customHeight="false" outlineLevel="0" collapsed="false">
      <c r="A157" s="44" t="n">
        <v>2632</v>
      </c>
      <c r="B157" s="45" t="n">
        <v>308</v>
      </c>
      <c r="C157" s="46" t="n">
        <v>342.4</v>
      </c>
      <c r="D157" s="46" t="n">
        <v>342.4</v>
      </c>
      <c r="E157" s="46" t="n">
        <v>812</v>
      </c>
      <c r="F157" s="46" t="n">
        <v>4994.7</v>
      </c>
      <c r="G157" s="45" t="n">
        <v>43.42</v>
      </c>
      <c r="H157" s="46" t="n">
        <v>3710.6</v>
      </c>
      <c r="I157" s="46" t="n">
        <v>5732.9</v>
      </c>
      <c r="J157" s="46" t="n">
        <v>4845.4</v>
      </c>
      <c r="K157" s="46" t="n">
        <v>887.5</v>
      </c>
      <c r="L157" s="47" t="n">
        <v>0</v>
      </c>
      <c r="M157" s="47" t="n">
        <v>0</v>
      </c>
      <c r="N157" s="46" t="n">
        <v>12500</v>
      </c>
      <c r="O157" s="46" t="n">
        <v>10174.7</v>
      </c>
    </row>
    <row r="158" customFormat="false" ht="15" hidden="false" customHeight="false" outlineLevel="0" collapsed="false">
      <c r="A158" s="44" t="n">
        <v>2649</v>
      </c>
      <c r="B158" s="45" t="n">
        <v>310</v>
      </c>
      <c r="C158" s="46" t="n">
        <v>342.4</v>
      </c>
      <c r="D158" s="46" t="n">
        <v>342.4</v>
      </c>
      <c r="E158" s="46" t="n">
        <v>813.3</v>
      </c>
      <c r="F158" s="46" t="n">
        <v>4993.1</v>
      </c>
      <c r="G158" s="45" t="n">
        <v>43.69</v>
      </c>
      <c r="H158" s="46" t="n">
        <v>3687.7</v>
      </c>
      <c r="I158" s="46" t="n">
        <v>5692</v>
      </c>
      <c r="J158" s="46" t="n">
        <v>4799</v>
      </c>
      <c r="K158" s="46" t="n">
        <v>893</v>
      </c>
      <c r="L158" s="47" t="n">
        <v>0</v>
      </c>
      <c r="M158" s="47" t="n">
        <v>0</v>
      </c>
      <c r="N158" s="46" t="n">
        <v>12500</v>
      </c>
      <c r="O158" s="46" t="n">
        <v>10131.1</v>
      </c>
    </row>
    <row r="159" customFormat="false" ht="15" hidden="false" customHeight="false" outlineLevel="0" collapsed="false">
      <c r="A159" s="44" t="n">
        <v>2666</v>
      </c>
      <c r="B159" s="45" t="n">
        <v>312</v>
      </c>
      <c r="C159" s="46" t="n">
        <v>342.4</v>
      </c>
      <c r="D159" s="46" t="n">
        <v>342.4</v>
      </c>
      <c r="E159" s="46" t="n">
        <v>814.6</v>
      </c>
      <c r="F159" s="46" t="n">
        <v>4991.5</v>
      </c>
      <c r="G159" s="45" t="n">
        <v>43.96</v>
      </c>
      <c r="H159" s="46" t="n">
        <v>3664.8</v>
      </c>
      <c r="I159" s="46" t="n">
        <v>5651.2</v>
      </c>
      <c r="J159" s="46" t="n">
        <v>4752.6</v>
      </c>
      <c r="K159" s="46" t="n">
        <v>898.6</v>
      </c>
      <c r="L159" s="47" t="n">
        <v>0</v>
      </c>
      <c r="M159" s="47" t="n">
        <v>0</v>
      </c>
      <c r="N159" s="46" t="n">
        <v>12500</v>
      </c>
      <c r="O159" s="46" t="n">
        <v>10087.5</v>
      </c>
    </row>
    <row r="160" customFormat="false" ht="15" hidden="false" customHeight="false" outlineLevel="0" collapsed="false">
      <c r="A160" s="44" t="n">
        <v>2683</v>
      </c>
      <c r="B160" s="45" t="n">
        <v>314</v>
      </c>
      <c r="C160" s="46" t="n">
        <v>342.4</v>
      </c>
      <c r="D160" s="46" t="n">
        <v>342.4</v>
      </c>
      <c r="E160" s="46" t="n">
        <v>816</v>
      </c>
      <c r="F160" s="46" t="n">
        <v>4989.9</v>
      </c>
      <c r="G160" s="45" t="n">
        <v>44.24</v>
      </c>
      <c r="H160" s="46" t="n">
        <v>3642</v>
      </c>
      <c r="I160" s="46" t="n">
        <v>5610.3</v>
      </c>
      <c r="J160" s="46" t="n">
        <v>4706.1</v>
      </c>
      <c r="K160" s="46" t="n">
        <v>904.2</v>
      </c>
      <c r="L160" s="47" t="n">
        <v>0</v>
      </c>
      <c r="M160" s="47" t="n">
        <v>0</v>
      </c>
      <c r="N160" s="46" t="n">
        <v>12500</v>
      </c>
      <c r="O160" s="46" t="n">
        <v>10044</v>
      </c>
    </row>
    <row r="161" customFormat="false" ht="15" hidden="false" customHeight="false" outlineLevel="0" collapsed="false">
      <c r="A161" s="44" t="n">
        <v>2700</v>
      </c>
      <c r="B161" s="45" t="n">
        <v>316</v>
      </c>
      <c r="C161" s="46" t="n">
        <v>342.4</v>
      </c>
      <c r="D161" s="46" t="n">
        <v>342.4</v>
      </c>
      <c r="E161" s="46" t="n">
        <v>817.4</v>
      </c>
      <c r="F161" s="46" t="n">
        <v>4988.3</v>
      </c>
      <c r="G161" s="45" t="n">
        <v>44.51</v>
      </c>
      <c r="H161" s="46" t="n">
        <v>3619.2</v>
      </c>
      <c r="I161" s="46" t="n">
        <v>5569.4</v>
      </c>
      <c r="J161" s="46" t="n">
        <v>4659.5</v>
      </c>
      <c r="K161" s="46" t="n">
        <v>909.9</v>
      </c>
      <c r="L161" s="47" t="n">
        <v>0</v>
      </c>
      <c r="M161" s="47" t="n">
        <v>0</v>
      </c>
      <c r="N161" s="46" t="n">
        <v>12500</v>
      </c>
      <c r="O161" s="46" t="n">
        <v>10000.4</v>
      </c>
    </row>
    <row r="162" customFormat="false" ht="15" hidden="false" customHeight="false" outlineLevel="0" collapsed="false">
      <c r="A162" s="44" t="n">
        <v>2717</v>
      </c>
      <c r="B162" s="45" t="n">
        <v>318</v>
      </c>
      <c r="C162" s="46" t="n">
        <v>342.4</v>
      </c>
      <c r="D162" s="46" t="n">
        <v>342.4</v>
      </c>
      <c r="E162" s="46" t="n">
        <v>818.9</v>
      </c>
      <c r="F162" s="46" t="n">
        <v>4986.7</v>
      </c>
      <c r="G162" s="45" t="n">
        <v>44.8</v>
      </c>
      <c r="H162" s="46" t="n">
        <v>3596.3</v>
      </c>
      <c r="I162" s="46" t="n">
        <v>5528.5</v>
      </c>
      <c r="J162" s="46" t="n">
        <v>4612.8</v>
      </c>
      <c r="K162" s="46" t="n">
        <v>915.7</v>
      </c>
      <c r="L162" s="47" t="n">
        <v>0</v>
      </c>
      <c r="M162" s="47" t="n">
        <v>0</v>
      </c>
      <c r="N162" s="46" t="n">
        <v>12500</v>
      </c>
      <c r="O162" s="46" t="n">
        <v>9956.8</v>
      </c>
    </row>
    <row r="163" customFormat="false" ht="15" hidden="false" customHeight="false" outlineLevel="0" collapsed="false">
      <c r="A163" s="44" t="n">
        <v>2734</v>
      </c>
      <c r="B163" s="45" t="n">
        <v>320</v>
      </c>
      <c r="C163" s="46" t="n">
        <v>342.4</v>
      </c>
      <c r="D163" s="46" t="n">
        <v>342.4</v>
      </c>
      <c r="E163" s="46" t="n">
        <v>820.4</v>
      </c>
      <c r="F163" s="46" t="n">
        <v>4985.1</v>
      </c>
      <c r="G163" s="45" t="n">
        <v>45.08</v>
      </c>
      <c r="H163" s="46" t="n">
        <v>3573.4</v>
      </c>
      <c r="I163" s="46" t="n">
        <v>5487.6</v>
      </c>
      <c r="J163" s="46" t="n">
        <v>4566.1</v>
      </c>
      <c r="K163" s="46" t="n">
        <v>921.6</v>
      </c>
      <c r="L163" s="47" t="n">
        <v>0</v>
      </c>
      <c r="M163" s="47" t="n">
        <v>0</v>
      </c>
      <c r="N163" s="46" t="n">
        <v>12500</v>
      </c>
      <c r="O163" s="46" t="n">
        <v>9913.2</v>
      </c>
    </row>
    <row r="164" customFormat="false" ht="15" hidden="false" customHeight="false" outlineLevel="0" collapsed="false">
      <c r="A164" s="44" t="n">
        <v>2751</v>
      </c>
      <c r="B164" s="45" t="n">
        <v>322</v>
      </c>
      <c r="C164" s="46" t="n">
        <v>342.4</v>
      </c>
      <c r="D164" s="46" t="n">
        <v>342.4</v>
      </c>
      <c r="E164" s="46" t="n">
        <v>821.9</v>
      </c>
      <c r="F164" s="46" t="n">
        <v>4983.5</v>
      </c>
      <c r="G164" s="45" t="n">
        <v>45.38</v>
      </c>
      <c r="H164" s="46" t="n">
        <v>3550.5</v>
      </c>
      <c r="I164" s="46" t="n">
        <v>5446.7</v>
      </c>
      <c r="J164" s="46" t="n">
        <v>4519.2</v>
      </c>
      <c r="K164" s="46" t="n">
        <v>927.5</v>
      </c>
      <c r="L164" s="47" t="n">
        <v>0</v>
      </c>
      <c r="M164" s="47" t="n">
        <v>0</v>
      </c>
      <c r="N164" s="46" t="n">
        <v>12500</v>
      </c>
      <c r="O164" s="46" t="n">
        <v>9869.7</v>
      </c>
    </row>
    <row r="165" customFormat="false" ht="15" hidden="false" customHeight="false" outlineLevel="0" collapsed="false">
      <c r="A165" s="44" t="n">
        <v>2768</v>
      </c>
      <c r="B165" s="45" t="n">
        <v>324</v>
      </c>
      <c r="C165" s="46" t="n">
        <v>342.4</v>
      </c>
      <c r="D165" s="46" t="n">
        <v>342.4</v>
      </c>
      <c r="E165" s="46" t="n">
        <v>823.4</v>
      </c>
      <c r="F165" s="46" t="n">
        <v>4981.9</v>
      </c>
      <c r="G165" s="45" t="n">
        <v>45.67</v>
      </c>
      <c r="H165" s="46" t="n">
        <v>3527.7</v>
      </c>
      <c r="I165" s="46" t="n">
        <v>5405.9</v>
      </c>
      <c r="J165" s="46" t="n">
        <v>4472.3</v>
      </c>
      <c r="K165" s="46" t="n">
        <v>933.5</v>
      </c>
      <c r="L165" s="47" t="n">
        <v>0</v>
      </c>
      <c r="M165" s="47" t="n">
        <v>0</v>
      </c>
      <c r="N165" s="46" t="n">
        <v>12500</v>
      </c>
      <c r="O165" s="46" t="n">
        <v>9826.1</v>
      </c>
    </row>
    <row r="166" customFormat="false" ht="15" hidden="false" customHeight="false" outlineLevel="0" collapsed="false">
      <c r="A166" s="44" t="n">
        <v>2785</v>
      </c>
      <c r="B166" s="45" t="n">
        <v>326</v>
      </c>
      <c r="C166" s="46" t="n">
        <v>342.4</v>
      </c>
      <c r="D166" s="46" t="n">
        <v>342.4</v>
      </c>
      <c r="E166" s="46" t="n">
        <v>825</v>
      </c>
      <c r="F166" s="46" t="n">
        <v>4980.3</v>
      </c>
      <c r="G166" s="45" t="n">
        <v>45.97</v>
      </c>
      <c r="H166" s="46" t="n">
        <v>3504.8</v>
      </c>
      <c r="I166" s="46" t="n">
        <v>5365</v>
      </c>
      <c r="J166" s="46" t="n">
        <v>4425.4</v>
      </c>
      <c r="K166" s="46" t="n">
        <v>939.6</v>
      </c>
      <c r="L166" s="47" t="n">
        <v>0</v>
      </c>
      <c r="M166" s="47" t="n">
        <v>0</v>
      </c>
      <c r="N166" s="46" t="n">
        <v>12500</v>
      </c>
      <c r="O166" s="46" t="n">
        <v>9782.5</v>
      </c>
    </row>
    <row r="167" customFormat="false" ht="15" hidden="false" customHeight="false" outlineLevel="0" collapsed="false">
      <c r="A167" s="44" t="n">
        <v>2802</v>
      </c>
      <c r="B167" s="45" t="n">
        <v>328</v>
      </c>
      <c r="C167" s="46" t="n">
        <v>342.4</v>
      </c>
      <c r="D167" s="46" t="n">
        <v>342.4</v>
      </c>
      <c r="E167" s="46" t="n">
        <v>826.6</v>
      </c>
      <c r="F167" s="46" t="n">
        <v>4978.7</v>
      </c>
      <c r="G167" s="45" t="n">
        <v>46.27</v>
      </c>
      <c r="H167" s="46" t="n">
        <v>3482</v>
      </c>
      <c r="I167" s="46" t="n">
        <v>5324.1</v>
      </c>
      <c r="J167" s="46" t="n">
        <v>4378.3</v>
      </c>
      <c r="K167" s="46" t="n">
        <v>945.8</v>
      </c>
      <c r="L167" s="47" t="n">
        <v>0</v>
      </c>
      <c r="M167" s="47" t="n">
        <v>0</v>
      </c>
      <c r="N167" s="46" t="n">
        <v>12500</v>
      </c>
      <c r="O167" s="46" t="n">
        <v>9738.9</v>
      </c>
    </row>
    <row r="168" customFormat="false" ht="15" hidden="false" customHeight="false" outlineLevel="0" collapsed="false">
      <c r="A168" s="44" t="n">
        <v>2820</v>
      </c>
      <c r="B168" s="45" t="n">
        <v>330</v>
      </c>
      <c r="C168" s="46" t="n">
        <v>342.4</v>
      </c>
      <c r="D168" s="46" t="n">
        <v>342.4</v>
      </c>
      <c r="E168" s="46" t="n">
        <v>828.2</v>
      </c>
      <c r="F168" s="46" t="n">
        <v>4977.1</v>
      </c>
      <c r="G168" s="45" t="n">
        <v>46.57</v>
      </c>
      <c r="H168" s="46" t="n">
        <v>3459.2</v>
      </c>
      <c r="I168" s="46" t="n">
        <v>5283.2</v>
      </c>
      <c r="J168" s="46" t="n">
        <v>4331.2</v>
      </c>
      <c r="K168" s="46" t="n">
        <v>952</v>
      </c>
      <c r="L168" s="47" t="n">
        <v>0</v>
      </c>
      <c r="M168" s="47" t="n">
        <v>0</v>
      </c>
      <c r="N168" s="46" t="n">
        <v>12500</v>
      </c>
      <c r="O168" s="46" t="n">
        <v>9695.4</v>
      </c>
    </row>
    <row r="169" customFormat="false" ht="15" hidden="false" customHeight="false" outlineLevel="0" collapsed="false">
      <c r="A169" s="44" t="n">
        <v>2837</v>
      </c>
      <c r="B169" s="45" t="n">
        <v>332</v>
      </c>
      <c r="C169" s="46" t="n">
        <v>342.4</v>
      </c>
      <c r="D169" s="46" t="n">
        <v>342.4</v>
      </c>
      <c r="E169" s="46" t="n">
        <v>829.9</v>
      </c>
      <c r="F169" s="46" t="n">
        <v>4975.6</v>
      </c>
      <c r="G169" s="45" t="n">
        <v>46.88</v>
      </c>
      <c r="H169" s="46" t="n">
        <v>3436.4</v>
      </c>
      <c r="I169" s="46" t="n">
        <v>5242.3</v>
      </c>
      <c r="J169" s="46" t="n">
        <v>4284</v>
      </c>
      <c r="K169" s="46" t="n">
        <v>958.3</v>
      </c>
      <c r="L169" s="47" t="n">
        <v>0</v>
      </c>
      <c r="M169" s="47" t="n">
        <v>0</v>
      </c>
      <c r="N169" s="46" t="n">
        <v>12500</v>
      </c>
      <c r="O169" s="46" t="n">
        <v>9651.8</v>
      </c>
    </row>
    <row r="170" customFormat="false" ht="15" hidden="false" customHeight="false" outlineLevel="0" collapsed="false">
      <c r="A170" s="44" t="n">
        <v>2854</v>
      </c>
      <c r="B170" s="45" t="n">
        <v>334</v>
      </c>
      <c r="C170" s="46" t="n">
        <v>342.4</v>
      </c>
      <c r="D170" s="46" t="n">
        <v>342.4</v>
      </c>
      <c r="E170" s="46" t="n">
        <v>831.6</v>
      </c>
      <c r="F170" s="46" t="n">
        <v>4974</v>
      </c>
      <c r="G170" s="45" t="n">
        <v>47.2</v>
      </c>
      <c r="H170" s="46" t="n">
        <v>3413.5</v>
      </c>
      <c r="I170" s="46" t="n">
        <v>5201.5</v>
      </c>
      <c r="J170" s="46" t="n">
        <v>4236.7</v>
      </c>
      <c r="K170" s="46" t="n">
        <v>964.7</v>
      </c>
      <c r="L170" s="47" t="n">
        <v>0</v>
      </c>
      <c r="M170" s="47" t="n">
        <v>0</v>
      </c>
      <c r="N170" s="46" t="n">
        <v>12500</v>
      </c>
      <c r="O170" s="46" t="n">
        <v>9608.2</v>
      </c>
    </row>
    <row r="171" customFormat="false" ht="15" hidden="false" customHeight="false" outlineLevel="0" collapsed="false">
      <c r="A171" s="44" t="n">
        <v>2871</v>
      </c>
      <c r="B171" s="45" t="n">
        <v>336</v>
      </c>
      <c r="C171" s="46" t="n">
        <v>342.4</v>
      </c>
      <c r="D171" s="46" t="n">
        <v>342.4</v>
      </c>
      <c r="E171" s="46" t="n">
        <v>833.4</v>
      </c>
      <c r="F171" s="46" t="n">
        <v>4972.4</v>
      </c>
      <c r="G171" s="45" t="n">
        <v>47.51</v>
      </c>
      <c r="H171" s="46" t="n">
        <v>3390.7</v>
      </c>
      <c r="I171" s="46" t="n">
        <v>5160.6</v>
      </c>
      <c r="J171" s="46" t="n">
        <v>4189.3</v>
      </c>
      <c r="K171" s="46" t="n">
        <v>971.2</v>
      </c>
      <c r="L171" s="47" t="n">
        <v>0</v>
      </c>
      <c r="M171" s="47" t="n">
        <v>0</v>
      </c>
      <c r="N171" s="46" t="n">
        <v>12500</v>
      </c>
      <c r="O171" s="46" t="n">
        <v>9564.7</v>
      </c>
    </row>
    <row r="172" customFormat="false" ht="15" hidden="false" customHeight="false" outlineLevel="0" collapsed="false">
      <c r="A172" s="44" t="n">
        <v>2888</v>
      </c>
      <c r="B172" s="45" t="n">
        <v>338</v>
      </c>
      <c r="C172" s="46" t="n">
        <v>342.4</v>
      </c>
      <c r="D172" s="46" t="n">
        <v>342.4</v>
      </c>
      <c r="E172" s="46" t="n">
        <v>835.2</v>
      </c>
      <c r="F172" s="46" t="n">
        <v>4970.8</v>
      </c>
      <c r="G172" s="45" t="n">
        <v>47.84</v>
      </c>
      <c r="H172" s="46" t="n">
        <v>3367.9</v>
      </c>
      <c r="I172" s="46" t="n">
        <v>5119.7</v>
      </c>
      <c r="J172" s="46" t="n">
        <v>4141.9</v>
      </c>
      <c r="K172" s="46" t="n">
        <v>977.8</v>
      </c>
      <c r="L172" s="47" t="n">
        <v>0</v>
      </c>
      <c r="M172" s="47" t="n">
        <v>0</v>
      </c>
      <c r="N172" s="46" t="n">
        <v>12500</v>
      </c>
      <c r="O172" s="46" t="n">
        <v>9521.1</v>
      </c>
    </row>
    <row r="173" customFormat="false" ht="15" hidden="false" customHeight="false" outlineLevel="0" collapsed="false">
      <c r="A173" s="44" t="n">
        <v>2905</v>
      </c>
      <c r="B173" s="45" t="n">
        <v>340</v>
      </c>
      <c r="C173" s="46" t="n">
        <v>342.4</v>
      </c>
      <c r="D173" s="46" t="n">
        <v>342.4</v>
      </c>
      <c r="E173" s="46" t="n">
        <v>837.1</v>
      </c>
      <c r="F173" s="46" t="n">
        <v>4969.2</v>
      </c>
      <c r="G173" s="45" t="n">
        <v>48.16</v>
      </c>
      <c r="H173" s="46" t="n">
        <v>3345</v>
      </c>
      <c r="I173" s="46" t="n">
        <v>5078.8</v>
      </c>
      <c r="J173" s="46" t="n">
        <v>4094.3</v>
      </c>
      <c r="K173" s="46" t="n">
        <v>984.5</v>
      </c>
      <c r="L173" s="47" t="n">
        <v>0</v>
      </c>
      <c r="M173" s="47" t="n">
        <v>0</v>
      </c>
      <c r="N173" s="46" t="n">
        <v>12500</v>
      </c>
      <c r="O173" s="46" t="n">
        <v>9477.5</v>
      </c>
    </row>
    <row r="174" customFormat="false" ht="15" hidden="false" customHeight="false" outlineLevel="0" collapsed="false">
      <c r="A174" s="44" t="n">
        <v>2922</v>
      </c>
      <c r="B174" s="45" t="n">
        <v>342</v>
      </c>
      <c r="C174" s="46" t="n">
        <v>342.4</v>
      </c>
      <c r="D174" s="46" t="n">
        <v>342.4</v>
      </c>
      <c r="E174" s="46" t="n">
        <v>839.1</v>
      </c>
      <c r="F174" s="46" t="n">
        <v>4967.6</v>
      </c>
      <c r="G174" s="45" t="n">
        <v>48.49</v>
      </c>
      <c r="H174" s="46" t="n">
        <v>3322.2</v>
      </c>
      <c r="I174" s="46" t="n">
        <v>5037.9</v>
      </c>
      <c r="J174" s="46" t="n">
        <v>4046.7</v>
      </c>
      <c r="K174" s="46" t="n">
        <v>991.3</v>
      </c>
      <c r="L174" s="47" t="n">
        <v>0</v>
      </c>
      <c r="M174" s="47" t="n">
        <v>0</v>
      </c>
      <c r="N174" s="46" t="n">
        <v>12500</v>
      </c>
      <c r="O174" s="46" t="n">
        <v>9433.9</v>
      </c>
    </row>
    <row r="175" customFormat="false" ht="15" hidden="false" customHeight="false" outlineLevel="0" collapsed="false">
      <c r="A175" s="44" t="n">
        <v>2939</v>
      </c>
      <c r="B175" s="45" t="n">
        <v>344</v>
      </c>
      <c r="C175" s="46" t="n">
        <v>342.4</v>
      </c>
      <c r="D175" s="46" t="n">
        <v>342.4</v>
      </c>
      <c r="E175" s="46" t="n">
        <v>841</v>
      </c>
      <c r="F175" s="46" t="n">
        <v>4966</v>
      </c>
      <c r="G175" s="45" t="n">
        <v>48.83</v>
      </c>
      <c r="H175" s="46" t="n">
        <v>3299.3</v>
      </c>
      <c r="I175" s="46" t="n">
        <v>4997</v>
      </c>
      <c r="J175" s="46" t="n">
        <v>3998.9</v>
      </c>
      <c r="K175" s="46" t="n">
        <v>998.1</v>
      </c>
      <c r="L175" s="47" t="n">
        <v>0</v>
      </c>
      <c r="M175" s="47" t="n">
        <v>0</v>
      </c>
      <c r="N175" s="46" t="n">
        <v>12500</v>
      </c>
      <c r="O175" s="46" t="n">
        <v>9390.4</v>
      </c>
    </row>
    <row r="176" customFormat="false" ht="15" hidden="false" customHeight="false" outlineLevel="0" collapsed="false">
      <c r="A176" s="44" t="n">
        <v>2956</v>
      </c>
      <c r="B176" s="45" t="n">
        <v>346</v>
      </c>
      <c r="C176" s="46" t="n">
        <v>342.4</v>
      </c>
      <c r="D176" s="46" t="n">
        <v>342.4</v>
      </c>
      <c r="E176" s="46" t="n">
        <v>843</v>
      </c>
      <c r="F176" s="46" t="n">
        <v>4964.4</v>
      </c>
      <c r="G176" s="45" t="n">
        <v>49.17</v>
      </c>
      <c r="H176" s="46" t="n">
        <v>3276.5</v>
      </c>
      <c r="I176" s="46" t="n">
        <v>4956.2</v>
      </c>
      <c r="J176" s="46" t="n">
        <v>3951.1</v>
      </c>
      <c r="K176" s="46" t="n">
        <v>1005.1</v>
      </c>
      <c r="L176" s="47" t="n">
        <v>0</v>
      </c>
      <c r="M176" s="47" t="n">
        <v>0</v>
      </c>
      <c r="N176" s="46" t="n">
        <v>12500</v>
      </c>
      <c r="O176" s="46" t="n">
        <v>9346.8</v>
      </c>
    </row>
    <row r="177" customFormat="false" ht="15" hidden="false" customHeight="false" outlineLevel="0" collapsed="false">
      <c r="A177" s="44" t="n">
        <v>2973</v>
      </c>
      <c r="B177" s="45" t="n">
        <v>348</v>
      </c>
      <c r="C177" s="46" t="n">
        <v>342.4</v>
      </c>
      <c r="D177" s="46" t="n">
        <v>342.4</v>
      </c>
      <c r="E177" s="46" t="n">
        <v>845.1</v>
      </c>
      <c r="F177" s="46" t="n">
        <v>4962.8</v>
      </c>
      <c r="G177" s="45" t="n">
        <v>49.52</v>
      </c>
      <c r="H177" s="46" t="n">
        <v>3253.6</v>
      </c>
      <c r="I177" s="46" t="n">
        <v>4915.3</v>
      </c>
      <c r="J177" s="46" t="n">
        <v>3903.1</v>
      </c>
      <c r="K177" s="46" t="n">
        <v>1012.2</v>
      </c>
      <c r="L177" s="47" t="n">
        <v>0</v>
      </c>
      <c r="M177" s="47" t="n">
        <v>0</v>
      </c>
      <c r="N177" s="46" t="n">
        <v>12500</v>
      </c>
      <c r="O177" s="46" t="n">
        <v>9303.2</v>
      </c>
    </row>
    <row r="178" customFormat="false" ht="15" hidden="false" customHeight="false" outlineLevel="0" collapsed="false">
      <c r="A178" s="44" t="n">
        <v>2990</v>
      </c>
      <c r="B178" s="45" t="n">
        <v>350</v>
      </c>
      <c r="C178" s="46" t="n">
        <v>342.4</v>
      </c>
      <c r="D178" s="46" t="n">
        <v>342.4</v>
      </c>
      <c r="E178" s="46" t="n">
        <v>847.1</v>
      </c>
      <c r="F178" s="46" t="n">
        <v>4961.2</v>
      </c>
      <c r="G178" s="45" t="n">
        <v>49.87</v>
      </c>
      <c r="H178" s="46" t="n">
        <v>3230.7</v>
      </c>
      <c r="I178" s="46" t="n">
        <v>4874.4</v>
      </c>
      <c r="J178" s="46" t="n">
        <v>3855.1</v>
      </c>
      <c r="K178" s="46" t="n">
        <v>1019.3</v>
      </c>
      <c r="L178" s="47" t="n">
        <v>0</v>
      </c>
      <c r="M178" s="47" t="n">
        <v>0</v>
      </c>
      <c r="N178" s="46" t="n">
        <v>12500</v>
      </c>
      <c r="O178" s="46" t="n">
        <v>9259.6</v>
      </c>
    </row>
    <row r="179" customFormat="false" ht="15" hidden="false" customHeight="false" outlineLevel="0" collapsed="false">
      <c r="A179" s="44" t="n">
        <v>3008</v>
      </c>
      <c r="B179" s="45" t="n">
        <v>352</v>
      </c>
      <c r="C179" s="46" t="n">
        <v>342.4</v>
      </c>
      <c r="D179" s="46" t="n">
        <v>342.4</v>
      </c>
      <c r="E179" s="46" t="n">
        <v>849.3</v>
      </c>
      <c r="F179" s="46" t="n">
        <v>4959.6</v>
      </c>
      <c r="G179" s="45" t="n">
        <v>50.22</v>
      </c>
      <c r="H179" s="46" t="n">
        <v>3207.9</v>
      </c>
      <c r="I179" s="46" t="n">
        <v>4833.5</v>
      </c>
      <c r="J179" s="46" t="n">
        <v>3806.9</v>
      </c>
      <c r="K179" s="46" t="n">
        <v>1026.6</v>
      </c>
      <c r="L179" s="47" t="n">
        <v>0</v>
      </c>
      <c r="M179" s="47" t="n">
        <v>0</v>
      </c>
      <c r="N179" s="46" t="n">
        <v>12500</v>
      </c>
      <c r="O179" s="46" t="n">
        <v>9216.1</v>
      </c>
    </row>
    <row r="180" customFormat="false" ht="15" hidden="false" customHeight="false" outlineLevel="0" collapsed="false">
      <c r="A180" s="44" t="n">
        <v>3025</v>
      </c>
      <c r="B180" s="45" t="n">
        <v>354</v>
      </c>
      <c r="C180" s="46" t="n">
        <v>342.4</v>
      </c>
      <c r="D180" s="46" t="n">
        <v>342.4</v>
      </c>
      <c r="E180" s="46" t="n">
        <v>851.6</v>
      </c>
      <c r="F180" s="46" t="n">
        <v>4958</v>
      </c>
      <c r="G180" s="45" t="n">
        <v>50.58</v>
      </c>
      <c r="H180" s="46" t="n">
        <v>3185</v>
      </c>
      <c r="I180" s="46" t="n">
        <v>4792.6</v>
      </c>
      <c r="J180" s="46" t="n">
        <v>3758.7</v>
      </c>
      <c r="K180" s="46" t="n">
        <v>1033.9</v>
      </c>
      <c r="L180" s="47" t="n">
        <v>0</v>
      </c>
      <c r="M180" s="47" t="n">
        <v>0</v>
      </c>
      <c r="N180" s="46" t="n">
        <v>12500</v>
      </c>
      <c r="O180" s="46" t="n">
        <v>9172.5</v>
      </c>
    </row>
    <row r="181" customFormat="false" ht="15" hidden="false" customHeight="false" outlineLevel="0" collapsed="false">
      <c r="A181" s="44" t="n">
        <v>3042</v>
      </c>
      <c r="B181" s="45" t="n">
        <v>356</v>
      </c>
      <c r="C181" s="46" t="n">
        <v>342.4</v>
      </c>
      <c r="D181" s="46" t="n">
        <v>342.4</v>
      </c>
      <c r="E181" s="46" t="n">
        <v>853.9</v>
      </c>
      <c r="F181" s="46" t="n">
        <v>4956.4</v>
      </c>
      <c r="G181" s="45" t="n">
        <v>50.95</v>
      </c>
      <c r="H181" s="46" t="n">
        <v>3162.2</v>
      </c>
      <c r="I181" s="46" t="n">
        <v>4751.8</v>
      </c>
      <c r="J181" s="46" t="n">
        <v>3710.3</v>
      </c>
      <c r="K181" s="46" t="n">
        <v>1041.4</v>
      </c>
      <c r="L181" s="47" t="n">
        <v>0</v>
      </c>
      <c r="M181" s="47" t="n">
        <v>0</v>
      </c>
      <c r="N181" s="46" t="n">
        <v>12500</v>
      </c>
      <c r="O181" s="46" t="n">
        <v>9128.9</v>
      </c>
    </row>
    <row r="182" customFormat="false" ht="15" hidden="false" customHeight="false" outlineLevel="0" collapsed="false">
      <c r="A182" s="44" t="n">
        <v>3059</v>
      </c>
      <c r="B182" s="45" t="n">
        <v>358</v>
      </c>
      <c r="C182" s="46" t="n">
        <v>342.4</v>
      </c>
      <c r="D182" s="46" t="n">
        <v>342.4</v>
      </c>
      <c r="E182" s="46" t="n">
        <v>856.2</v>
      </c>
      <c r="F182" s="46" t="n">
        <v>4954.8</v>
      </c>
      <c r="G182" s="45" t="n">
        <v>51.32</v>
      </c>
      <c r="H182" s="46" t="n">
        <v>3139.3</v>
      </c>
      <c r="I182" s="46" t="n">
        <v>4710.9</v>
      </c>
      <c r="J182" s="46" t="n">
        <v>3661.9</v>
      </c>
      <c r="K182" s="46" t="n">
        <v>1049</v>
      </c>
      <c r="L182" s="47" t="n">
        <v>0</v>
      </c>
      <c r="M182" s="47" t="n">
        <v>0</v>
      </c>
      <c r="N182" s="46" t="n">
        <v>12500</v>
      </c>
      <c r="O182" s="46" t="n">
        <v>9085.4</v>
      </c>
    </row>
    <row r="183" customFormat="false" ht="15" hidden="false" customHeight="false" outlineLevel="0" collapsed="false">
      <c r="A183" s="44" t="n">
        <v>3076</v>
      </c>
      <c r="B183" s="45" t="n">
        <v>360</v>
      </c>
      <c r="C183" s="46" t="n">
        <v>342.4</v>
      </c>
      <c r="D183" s="46" t="n">
        <v>342.4</v>
      </c>
      <c r="E183" s="46" t="n">
        <v>858.6</v>
      </c>
      <c r="F183" s="46" t="n">
        <v>4953.3</v>
      </c>
      <c r="G183" s="45" t="n">
        <v>51.7</v>
      </c>
      <c r="H183" s="46" t="n">
        <v>3116.4</v>
      </c>
      <c r="I183" s="46" t="n">
        <v>4670</v>
      </c>
      <c r="J183" s="46" t="n">
        <v>3613.3</v>
      </c>
      <c r="K183" s="46" t="n">
        <v>1056.7</v>
      </c>
      <c r="L183" s="47" t="n">
        <v>0</v>
      </c>
      <c r="M183" s="47" t="n">
        <v>0</v>
      </c>
      <c r="N183" s="46" t="n">
        <v>12500</v>
      </c>
      <c r="O183" s="46" t="n">
        <v>9041.8</v>
      </c>
    </row>
    <row r="184" customFormat="false" ht="15" hidden="false" customHeight="false" outlineLevel="0" collapsed="false">
      <c r="A184" s="44" t="n">
        <v>3093</v>
      </c>
      <c r="B184" s="45" t="n">
        <v>362</v>
      </c>
      <c r="C184" s="46" t="n">
        <v>342.4</v>
      </c>
      <c r="D184" s="46" t="n">
        <v>342.4</v>
      </c>
      <c r="E184" s="46" t="n">
        <v>861</v>
      </c>
      <c r="F184" s="46" t="n">
        <v>4951.7</v>
      </c>
      <c r="G184" s="45" t="n">
        <v>52.08</v>
      </c>
      <c r="H184" s="46" t="n">
        <v>3093.5</v>
      </c>
      <c r="I184" s="46" t="n">
        <v>4629.1</v>
      </c>
      <c r="J184" s="46" t="n">
        <v>3564.6</v>
      </c>
      <c r="K184" s="46" t="n">
        <v>1064.5</v>
      </c>
      <c r="L184" s="47" t="n">
        <v>0</v>
      </c>
      <c r="M184" s="47" t="n">
        <v>0</v>
      </c>
      <c r="N184" s="46" t="n">
        <v>12500</v>
      </c>
      <c r="O184" s="46" t="n">
        <v>8998.2</v>
      </c>
    </row>
    <row r="185" customFormat="false" ht="15" hidden="false" customHeight="false" outlineLevel="0" collapsed="false">
      <c r="A185" s="44" t="n">
        <v>3110</v>
      </c>
      <c r="B185" s="45" t="n">
        <v>364</v>
      </c>
      <c r="C185" s="46" t="n">
        <v>342.4</v>
      </c>
      <c r="D185" s="46" t="n">
        <v>342.4</v>
      </c>
      <c r="E185" s="46" t="n">
        <v>863.5</v>
      </c>
      <c r="F185" s="46" t="n">
        <v>4950.1</v>
      </c>
      <c r="G185" s="45" t="n">
        <v>52.47</v>
      </c>
      <c r="H185" s="46" t="n">
        <v>3070.6</v>
      </c>
      <c r="I185" s="46" t="n">
        <v>4588.2</v>
      </c>
      <c r="J185" s="46" t="n">
        <v>3515.8</v>
      </c>
      <c r="K185" s="46" t="n">
        <v>1072.5</v>
      </c>
      <c r="L185" s="47" t="n">
        <v>0</v>
      </c>
      <c r="M185" s="47" t="n">
        <v>0</v>
      </c>
      <c r="N185" s="46" t="n">
        <v>12500</v>
      </c>
      <c r="O185" s="46" t="n">
        <v>8954.6</v>
      </c>
    </row>
    <row r="186" customFormat="false" ht="15" hidden="false" customHeight="false" outlineLevel="0" collapsed="false">
      <c r="A186" s="44" t="n">
        <v>3127</v>
      </c>
      <c r="B186" s="45" t="n">
        <v>366</v>
      </c>
      <c r="C186" s="46" t="n">
        <v>342.4</v>
      </c>
      <c r="D186" s="46" t="n">
        <v>342.4</v>
      </c>
      <c r="E186" s="46" t="n">
        <v>866</v>
      </c>
      <c r="F186" s="46" t="n">
        <v>4948.5</v>
      </c>
      <c r="G186" s="45" t="n">
        <v>52.86</v>
      </c>
      <c r="H186" s="46" t="n">
        <v>3047.7</v>
      </c>
      <c r="I186" s="46" t="n">
        <v>4547.3</v>
      </c>
      <c r="J186" s="46" t="n">
        <v>3466.8</v>
      </c>
      <c r="K186" s="46" t="n">
        <v>1080.5</v>
      </c>
      <c r="L186" s="47" t="n">
        <v>0</v>
      </c>
      <c r="M186" s="47" t="n">
        <v>0</v>
      </c>
      <c r="N186" s="46" t="n">
        <v>12500</v>
      </c>
      <c r="O186" s="46" t="n">
        <v>8911.1</v>
      </c>
    </row>
    <row r="187" customFormat="false" ht="15" hidden="false" customHeight="false" outlineLevel="0" collapsed="false">
      <c r="A187" s="44" t="n">
        <v>3144</v>
      </c>
      <c r="B187" s="45" t="n">
        <v>368</v>
      </c>
      <c r="C187" s="46" t="n">
        <v>342.4</v>
      </c>
      <c r="D187" s="46" t="n">
        <v>342.4</v>
      </c>
      <c r="E187" s="46" t="n">
        <v>868.6</v>
      </c>
      <c r="F187" s="46" t="n">
        <v>4946.9</v>
      </c>
      <c r="G187" s="45" t="n">
        <v>53.26</v>
      </c>
      <c r="H187" s="46" t="n">
        <v>3024.8</v>
      </c>
      <c r="I187" s="46" t="n">
        <v>4506.5</v>
      </c>
      <c r="J187" s="46" t="n">
        <v>3417.8</v>
      </c>
      <c r="K187" s="46" t="n">
        <v>1088.7</v>
      </c>
      <c r="L187" s="47" t="n">
        <v>0</v>
      </c>
      <c r="M187" s="47" t="n">
        <v>0</v>
      </c>
      <c r="N187" s="46" t="n">
        <v>12500</v>
      </c>
      <c r="O187" s="46" t="n">
        <v>8867.5</v>
      </c>
    </row>
    <row r="188" customFormat="false" ht="15" hidden="false" customHeight="false" outlineLevel="0" collapsed="false">
      <c r="A188" s="44" t="n">
        <v>3161</v>
      </c>
      <c r="B188" s="45" t="n">
        <v>370</v>
      </c>
      <c r="C188" s="46" t="n">
        <v>342.4</v>
      </c>
      <c r="D188" s="46" t="n">
        <v>342.4</v>
      </c>
      <c r="E188" s="46" t="n">
        <v>871.4</v>
      </c>
      <c r="F188" s="46" t="n">
        <v>4945.3</v>
      </c>
      <c r="G188" s="45" t="n">
        <v>53.67</v>
      </c>
      <c r="H188" s="46" t="n">
        <v>3002</v>
      </c>
      <c r="I188" s="46" t="n">
        <v>4465.6</v>
      </c>
      <c r="J188" s="46" t="n">
        <v>3368.6</v>
      </c>
      <c r="K188" s="46" t="n">
        <v>1097</v>
      </c>
      <c r="L188" s="47" t="n">
        <v>0</v>
      </c>
      <c r="M188" s="47" t="n">
        <v>0</v>
      </c>
      <c r="N188" s="46" t="n">
        <v>12500</v>
      </c>
      <c r="O188" s="46" t="n">
        <v>8823.9</v>
      </c>
    </row>
    <row r="189" customFormat="false" ht="15" hidden="false" customHeight="false" outlineLevel="0" collapsed="false">
      <c r="A189" s="44" t="n">
        <v>3178</v>
      </c>
      <c r="B189" s="45" t="n">
        <v>372</v>
      </c>
      <c r="C189" s="46" t="n">
        <v>342.4</v>
      </c>
      <c r="D189" s="46" t="n">
        <v>342.4</v>
      </c>
      <c r="E189" s="46" t="n">
        <v>874.6</v>
      </c>
      <c r="F189" s="46" t="n">
        <v>4943.7</v>
      </c>
      <c r="G189" s="45" t="n">
        <v>54.08</v>
      </c>
      <c r="H189" s="46" t="n">
        <v>2979.1</v>
      </c>
      <c r="I189" s="46" t="n">
        <v>4424.7</v>
      </c>
      <c r="J189" s="46" t="n">
        <v>3319.3</v>
      </c>
      <c r="K189" s="46" t="n">
        <v>1105.4</v>
      </c>
      <c r="L189" s="47" t="n">
        <v>0</v>
      </c>
      <c r="M189" s="47" t="n">
        <v>0</v>
      </c>
      <c r="N189" s="46" t="n">
        <v>12500</v>
      </c>
      <c r="O189" s="46" t="n">
        <v>8780.4</v>
      </c>
    </row>
    <row r="190" customFormat="false" ht="15" hidden="false" customHeight="false" outlineLevel="0" collapsed="false">
      <c r="A190" s="44" t="n">
        <v>3195</v>
      </c>
      <c r="B190" s="45" t="n">
        <v>374</v>
      </c>
      <c r="C190" s="46" t="n">
        <v>342.4</v>
      </c>
      <c r="D190" s="46" t="n">
        <v>342.4</v>
      </c>
      <c r="E190" s="46" t="n">
        <v>878.2</v>
      </c>
      <c r="F190" s="46" t="n">
        <v>4942.1</v>
      </c>
      <c r="G190" s="45" t="n">
        <v>54.5</v>
      </c>
      <c r="H190" s="46" t="n">
        <v>2956.3</v>
      </c>
      <c r="I190" s="46" t="n">
        <v>4383.8</v>
      </c>
      <c r="J190" s="46" t="n">
        <v>3269.9</v>
      </c>
      <c r="K190" s="46" t="n">
        <v>1113.9</v>
      </c>
      <c r="L190" s="47" t="n">
        <v>0</v>
      </c>
      <c r="M190" s="47" t="n">
        <v>0</v>
      </c>
      <c r="N190" s="46" t="n">
        <v>12500</v>
      </c>
      <c r="O190" s="46" t="n">
        <v>8736.8</v>
      </c>
    </row>
    <row r="191" customFormat="false" ht="15" hidden="false" customHeight="false" outlineLevel="0" collapsed="false">
      <c r="A191" s="44" t="n">
        <v>3213</v>
      </c>
      <c r="B191" s="45" t="n">
        <v>376</v>
      </c>
      <c r="C191" s="46" t="n">
        <v>342.4</v>
      </c>
      <c r="D191" s="46" t="n">
        <v>342.4</v>
      </c>
      <c r="E191" s="46" t="n">
        <v>882.2</v>
      </c>
      <c r="F191" s="46" t="n">
        <v>4940.5</v>
      </c>
      <c r="G191" s="45" t="n">
        <v>54.92</v>
      </c>
      <c r="H191" s="46" t="n">
        <v>2933.5</v>
      </c>
      <c r="I191" s="46" t="n">
        <v>4342.9</v>
      </c>
      <c r="J191" s="46" t="n">
        <v>3220.3</v>
      </c>
      <c r="K191" s="46" t="n">
        <v>1122.6</v>
      </c>
      <c r="L191" s="47" t="n">
        <v>0</v>
      </c>
      <c r="M191" s="47" t="n">
        <v>0</v>
      </c>
      <c r="N191" s="46" t="n">
        <v>12500</v>
      </c>
      <c r="O191" s="46" t="n">
        <v>8693.2</v>
      </c>
    </row>
    <row r="192" customFormat="false" ht="15" hidden="false" customHeight="false" outlineLevel="0" collapsed="false">
      <c r="A192" s="44" t="n">
        <v>3230</v>
      </c>
      <c r="B192" s="45" t="n">
        <v>378</v>
      </c>
      <c r="C192" s="46" t="n">
        <v>342.4</v>
      </c>
      <c r="D192" s="46" t="n">
        <v>342.4</v>
      </c>
      <c r="E192" s="46" t="n">
        <v>886.6</v>
      </c>
      <c r="F192" s="46" t="n">
        <v>4938.9</v>
      </c>
      <c r="G192" s="45" t="n">
        <v>55.35</v>
      </c>
      <c r="H192" s="46" t="n">
        <v>2910.7</v>
      </c>
      <c r="I192" s="46" t="n">
        <v>4302.1</v>
      </c>
      <c r="J192" s="46" t="n">
        <v>3170.6</v>
      </c>
      <c r="K192" s="46" t="n">
        <v>1131.4</v>
      </c>
      <c r="L192" s="47" t="n">
        <v>0</v>
      </c>
      <c r="M192" s="47" t="n">
        <v>0</v>
      </c>
      <c r="N192" s="46" t="n">
        <v>12500</v>
      </c>
      <c r="O192" s="46" t="n">
        <v>8649.6</v>
      </c>
    </row>
    <row r="193" customFormat="false" ht="15" hidden="false" customHeight="false" outlineLevel="0" collapsed="false">
      <c r="A193" s="44" t="n">
        <v>3247</v>
      </c>
      <c r="B193" s="45" t="n">
        <v>380</v>
      </c>
      <c r="C193" s="46" t="n">
        <v>342.4</v>
      </c>
      <c r="D193" s="46" t="n">
        <v>342.4</v>
      </c>
      <c r="E193" s="46" t="n">
        <v>891.4</v>
      </c>
      <c r="F193" s="46" t="n">
        <v>4937.3</v>
      </c>
      <c r="G193" s="45" t="n">
        <v>55.79</v>
      </c>
      <c r="H193" s="46" t="n">
        <v>2887.8</v>
      </c>
      <c r="I193" s="46" t="n">
        <v>4261.2</v>
      </c>
      <c r="J193" s="46" t="n">
        <v>3120.8</v>
      </c>
      <c r="K193" s="46" t="n">
        <v>1140.4</v>
      </c>
      <c r="L193" s="47" t="n">
        <v>0</v>
      </c>
      <c r="M193" s="47" t="n">
        <v>0</v>
      </c>
      <c r="N193" s="46" t="n">
        <v>12500</v>
      </c>
      <c r="O193" s="46" t="n">
        <v>8606.1</v>
      </c>
    </row>
    <row r="194" customFormat="false" ht="15" hidden="false" customHeight="false" outlineLevel="0" collapsed="false">
      <c r="A194" s="44" t="n">
        <v>3264</v>
      </c>
      <c r="B194" s="45" t="n">
        <v>382</v>
      </c>
      <c r="C194" s="46" t="n">
        <v>342.4</v>
      </c>
      <c r="D194" s="46" t="n">
        <v>342.4</v>
      </c>
      <c r="E194" s="46" t="n">
        <v>896.5</v>
      </c>
      <c r="F194" s="46" t="n">
        <v>4935.7</v>
      </c>
      <c r="G194" s="45" t="n">
        <v>56.23</v>
      </c>
      <c r="H194" s="46" t="n">
        <v>2865</v>
      </c>
      <c r="I194" s="46" t="n">
        <v>4220.3</v>
      </c>
      <c r="J194" s="46" t="n">
        <v>3070.9</v>
      </c>
      <c r="K194" s="46" t="n">
        <v>1149.4</v>
      </c>
      <c r="L194" s="47" t="n">
        <v>0</v>
      </c>
      <c r="M194" s="47" t="n">
        <v>0</v>
      </c>
      <c r="N194" s="46" t="n">
        <v>12500</v>
      </c>
      <c r="O194" s="46" t="n">
        <v>8562.5</v>
      </c>
    </row>
    <row r="195" customFormat="false" ht="15" hidden="false" customHeight="false" outlineLevel="0" collapsed="false">
      <c r="A195" s="44" t="n">
        <v>3281</v>
      </c>
      <c r="B195" s="45" t="n">
        <v>384</v>
      </c>
      <c r="C195" s="46" t="n">
        <v>342.4</v>
      </c>
      <c r="D195" s="46" t="n">
        <v>342.4</v>
      </c>
      <c r="E195" s="46" t="n">
        <v>902.1</v>
      </c>
      <c r="F195" s="46" t="n">
        <v>4934.2</v>
      </c>
      <c r="G195" s="45" t="n">
        <v>56.68</v>
      </c>
      <c r="H195" s="46" t="n">
        <v>2842.2</v>
      </c>
      <c r="I195" s="46" t="n">
        <v>4179.4</v>
      </c>
      <c r="J195" s="46" t="n">
        <v>3020.8</v>
      </c>
      <c r="K195" s="46" t="n">
        <v>1158.7</v>
      </c>
      <c r="L195" s="47" t="n">
        <v>0</v>
      </c>
      <c r="M195" s="47" t="n">
        <v>0</v>
      </c>
      <c r="N195" s="46" t="n">
        <v>12500</v>
      </c>
      <c r="O195" s="46" t="n">
        <v>8518.9</v>
      </c>
    </row>
    <row r="196" customFormat="false" ht="15" hidden="false" customHeight="false" outlineLevel="0" collapsed="false">
      <c r="A196" s="44" t="n">
        <v>3298</v>
      </c>
      <c r="B196" s="45" t="n">
        <v>386</v>
      </c>
      <c r="C196" s="46" t="n">
        <v>342.4</v>
      </c>
      <c r="D196" s="46" t="n">
        <v>342.4</v>
      </c>
      <c r="E196" s="46" t="n">
        <v>908</v>
      </c>
      <c r="F196" s="46" t="n">
        <v>4932.6</v>
      </c>
      <c r="G196" s="45" t="n">
        <v>57.14</v>
      </c>
      <c r="H196" s="46" t="n">
        <v>2819.4</v>
      </c>
      <c r="I196" s="46" t="n">
        <v>4138.5</v>
      </c>
      <c r="J196" s="46" t="n">
        <v>2970.5</v>
      </c>
      <c r="K196" s="46" t="n">
        <v>1168</v>
      </c>
      <c r="L196" s="47" t="n">
        <v>0</v>
      </c>
      <c r="M196" s="47" t="n">
        <v>0</v>
      </c>
      <c r="N196" s="46" t="n">
        <v>12500</v>
      </c>
      <c r="O196" s="46" t="n">
        <v>8475.3</v>
      </c>
    </row>
    <row r="197" customFormat="false" ht="15" hidden="false" customHeight="false" outlineLevel="0" collapsed="false">
      <c r="A197" s="44" t="n">
        <v>3315</v>
      </c>
      <c r="B197" s="45" t="n">
        <v>388</v>
      </c>
      <c r="C197" s="46" t="n">
        <v>342.4</v>
      </c>
      <c r="D197" s="46" t="n">
        <v>342.4</v>
      </c>
      <c r="E197" s="46" t="n">
        <v>914.2</v>
      </c>
      <c r="F197" s="46" t="n">
        <v>4931</v>
      </c>
      <c r="G197" s="45" t="n">
        <v>57.61</v>
      </c>
      <c r="H197" s="46" t="n">
        <v>2796.5</v>
      </c>
      <c r="I197" s="46" t="n">
        <v>4097.6</v>
      </c>
      <c r="J197" s="46" t="n">
        <v>2920.1</v>
      </c>
      <c r="K197" s="46" t="n">
        <v>1177.6</v>
      </c>
      <c r="L197" s="47" t="n">
        <v>0</v>
      </c>
      <c r="M197" s="47" t="n">
        <v>0</v>
      </c>
      <c r="N197" s="46" t="n">
        <v>12500</v>
      </c>
      <c r="O197" s="46" t="n">
        <v>8431.8</v>
      </c>
    </row>
    <row r="198" customFormat="false" ht="15" hidden="false" customHeight="false" outlineLevel="0" collapsed="false">
      <c r="A198" s="44" t="n">
        <v>3332</v>
      </c>
      <c r="B198" s="45" t="n">
        <v>390</v>
      </c>
      <c r="C198" s="46" t="n">
        <v>342.4</v>
      </c>
      <c r="D198" s="46" t="n">
        <v>342.4</v>
      </c>
      <c r="E198" s="46" t="n">
        <v>920.8</v>
      </c>
      <c r="F198" s="46" t="n">
        <v>4929.4</v>
      </c>
      <c r="G198" s="45" t="n">
        <v>58.08</v>
      </c>
      <c r="H198" s="46" t="n">
        <v>2773.6</v>
      </c>
      <c r="I198" s="46" t="n">
        <v>4056.8</v>
      </c>
      <c r="J198" s="46" t="n">
        <v>2869.5</v>
      </c>
      <c r="K198" s="46" t="n">
        <v>1187.3</v>
      </c>
      <c r="L198" s="47" t="n">
        <v>0</v>
      </c>
      <c r="M198" s="47" t="n">
        <v>0</v>
      </c>
      <c r="N198" s="46" t="n">
        <v>12500</v>
      </c>
      <c r="O198" s="46" t="n">
        <v>8388.2</v>
      </c>
    </row>
    <row r="199" customFormat="false" ht="15" hidden="false" customHeight="false" outlineLevel="0" collapsed="false">
      <c r="A199" s="44" t="n">
        <v>3349</v>
      </c>
      <c r="B199" s="45" t="n">
        <v>392</v>
      </c>
      <c r="C199" s="46" t="n">
        <v>342.4</v>
      </c>
      <c r="D199" s="46" t="n">
        <v>342.4</v>
      </c>
      <c r="E199" s="46" t="n">
        <v>927.7</v>
      </c>
      <c r="F199" s="46" t="n">
        <v>4927.8</v>
      </c>
      <c r="G199" s="45" t="n">
        <v>58.57</v>
      </c>
      <c r="H199" s="46" t="n">
        <v>2750.8</v>
      </c>
      <c r="I199" s="46" t="n">
        <v>4015.9</v>
      </c>
      <c r="J199" s="46" t="n">
        <v>2818.7</v>
      </c>
      <c r="K199" s="46" t="n">
        <v>1197.2</v>
      </c>
      <c r="L199" s="47" t="n">
        <v>0</v>
      </c>
      <c r="M199" s="47" t="n">
        <v>0</v>
      </c>
      <c r="N199" s="46" t="n">
        <v>12500</v>
      </c>
      <c r="O199" s="46" t="n">
        <v>8344.6</v>
      </c>
    </row>
    <row r="200" customFormat="false" ht="15" hidden="false" customHeight="false" outlineLevel="0" collapsed="false">
      <c r="A200" s="44" t="n">
        <v>3366</v>
      </c>
      <c r="B200" s="45" t="n">
        <v>394</v>
      </c>
      <c r="C200" s="46" t="n">
        <v>342.4</v>
      </c>
      <c r="D200" s="46" t="n">
        <v>342.4</v>
      </c>
      <c r="E200" s="46" t="n">
        <v>935</v>
      </c>
      <c r="F200" s="46" t="n">
        <v>4926.2</v>
      </c>
      <c r="G200" s="45" t="n">
        <v>59.06</v>
      </c>
      <c r="H200" s="46" t="n">
        <v>2728</v>
      </c>
      <c r="I200" s="46" t="n">
        <v>3975</v>
      </c>
      <c r="J200" s="46" t="n">
        <v>2767.8</v>
      </c>
      <c r="K200" s="46" t="n">
        <v>1207.2</v>
      </c>
      <c r="L200" s="47" t="n">
        <v>0</v>
      </c>
      <c r="M200" s="47" t="n">
        <v>0</v>
      </c>
      <c r="N200" s="46" t="n">
        <v>12500</v>
      </c>
      <c r="O200" s="46" t="n">
        <v>8301.1</v>
      </c>
    </row>
    <row r="201" customFormat="false" ht="15" hidden="false" customHeight="false" outlineLevel="0" collapsed="false">
      <c r="A201" s="44" t="n">
        <v>3383</v>
      </c>
      <c r="B201" s="45" t="n">
        <v>396</v>
      </c>
      <c r="C201" s="46" t="n">
        <v>342.4</v>
      </c>
      <c r="D201" s="46" t="n">
        <v>342.4</v>
      </c>
      <c r="E201" s="46" t="n">
        <v>942.6</v>
      </c>
      <c r="F201" s="46" t="n">
        <v>4924.6</v>
      </c>
      <c r="G201" s="45" t="n">
        <v>59.56</v>
      </c>
      <c r="H201" s="46" t="n">
        <v>2705.2</v>
      </c>
      <c r="I201" s="46" t="n">
        <v>3934.1</v>
      </c>
      <c r="J201" s="46" t="n">
        <v>2716.8</v>
      </c>
      <c r="K201" s="46" t="n">
        <v>1217.4</v>
      </c>
      <c r="L201" s="47" t="n">
        <v>0</v>
      </c>
      <c r="M201" s="47" t="n">
        <v>0</v>
      </c>
      <c r="N201" s="46" t="n">
        <v>12500</v>
      </c>
      <c r="O201" s="46" t="n">
        <v>8257.5</v>
      </c>
    </row>
    <row r="202" customFormat="false" ht="15" hidden="false" customHeight="false" outlineLevel="0" collapsed="false">
      <c r="A202" s="44" t="n">
        <v>3401</v>
      </c>
      <c r="B202" s="45" t="n">
        <v>398</v>
      </c>
      <c r="C202" s="46" t="n">
        <v>342.4</v>
      </c>
      <c r="D202" s="46" t="n">
        <v>342.4</v>
      </c>
      <c r="E202" s="46" t="n">
        <v>950.5</v>
      </c>
      <c r="F202" s="46" t="n">
        <v>4923</v>
      </c>
      <c r="G202" s="45" t="n">
        <v>60.06</v>
      </c>
      <c r="H202" s="46" t="n">
        <v>2682.3</v>
      </c>
      <c r="I202" s="46" t="n">
        <v>3893.2</v>
      </c>
      <c r="J202" s="46" t="n">
        <v>2665.5</v>
      </c>
      <c r="K202" s="46" t="n">
        <v>1227.7</v>
      </c>
      <c r="L202" s="47" t="n">
        <v>0</v>
      </c>
      <c r="M202" s="47" t="n">
        <v>0</v>
      </c>
      <c r="N202" s="46" t="n">
        <v>12500</v>
      </c>
      <c r="O202" s="46" t="n">
        <v>8213.9</v>
      </c>
    </row>
    <row r="203" customFormat="false" ht="15" hidden="false" customHeight="false" outlineLevel="0" collapsed="false">
      <c r="A203" s="44" t="n">
        <v>3418</v>
      </c>
      <c r="B203" s="45" t="n">
        <v>400</v>
      </c>
      <c r="C203" s="46" t="n">
        <v>342.4</v>
      </c>
      <c r="D203" s="46" t="n">
        <v>342.4</v>
      </c>
      <c r="E203" s="46" t="n">
        <v>958.8</v>
      </c>
      <c r="F203" s="46" t="n">
        <v>4922.5</v>
      </c>
      <c r="G203" s="45" t="n">
        <v>60.58</v>
      </c>
      <c r="H203" s="46" t="n">
        <v>2659.6</v>
      </c>
      <c r="I203" s="46" t="n">
        <v>3852.4</v>
      </c>
      <c r="J203" s="46" t="n">
        <v>2614.1</v>
      </c>
      <c r="K203" s="46" t="n">
        <v>1238.2</v>
      </c>
      <c r="L203" s="47" t="n">
        <v>0</v>
      </c>
      <c r="M203" s="47" t="n">
        <v>0</v>
      </c>
      <c r="N203" s="46" t="n">
        <v>12500</v>
      </c>
      <c r="O203" s="46" t="n">
        <v>8172.2</v>
      </c>
    </row>
    <row r="204" customFormat="false" ht="15" hidden="false" customHeight="false" outlineLevel="0" collapsed="false">
      <c r="A204" s="44" t="n">
        <v>3435</v>
      </c>
      <c r="B204" s="45" t="n">
        <v>402</v>
      </c>
      <c r="C204" s="46" t="n">
        <v>342.4</v>
      </c>
      <c r="D204" s="46" t="n">
        <v>342.4</v>
      </c>
      <c r="E204" s="46" t="n">
        <v>967.4</v>
      </c>
      <c r="F204" s="46" t="n">
        <v>4922.5</v>
      </c>
      <c r="G204" s="45" t="n">
        <v>61.1</v>
      </c>
      <c r="H204" s="46" t="n">
        <v>2636.8</v>
      </c>
      <c r="I204" s="46" t="n">
        <v>3811.5</v>
      </c>
      <c r="J204" s="46" t="n">
        <v>2562.6</v>
      </c>
      <c r="K204" s="46" t="n">
        <v>1248.9</v>
      </c>
      <c r="L204" s="47" t="n">
        <v>0</v>
      </c>
      <c r="M204" s="47" t="n">
        <v>0</v>
      </c>
      <c r="N204" s="46" t="n">
        <v>12500</v>
      </c>
      <c r="O204" s="46" t="n">
        <v>8131.3</v>
      </c>
    </row>
    <row r="205" customFormat="false" ht="15" hidden="false" customHeight="false" outlineLevel="0" collapsed="false">
      <c r="A205" s="44" t="n">
        <v>3452</v>
      </c>
      <c r="B205" s="45" t="n">
        <v>404</v>
      </c>
      <c r="C205" s="46" t="n">
        <v>342.4</v>
      </c>
      <c r="D205" s="46" t="n">
        <v>342.4</v>
      </c>
      <c r="E205" s="46" t="n">
        <v>976.3</v>
      </c>
      <c r="F205" s="46" t="n">
        <v>4922.5</v>
      </c>
      <c r="G205" s="45" t="n">
        <v>61.63</v>
      </c>
      <c r="H205" s="46" t="n">
        <v>2614.1</v>
      </c>
      <c r="I205" s="46" t="n">
        <v>3770.6</v>
      </c>
      <c r="J205" s="46" t="n">
        <v>2510.8</v>
      </c>
      <c r="K205" s="46" t="n">
        <v>1259.8</v>
      </c>
      <c r="L205" s="47" t="n">
        <v>0</v>
      </c>
      <c r="M205" s="47" t="n">
        <v>0</v>
      </c>
      <c r="N205" s="46" t="n">
        <v>12500</v>
      </c>
      <c r="O205" s="46" t="n">
        <v>8090.4</v>
      </c>
    </row>
    <row r="206" customFormat="false" ht="15" hidden="false" customHeight="false" outlineLevel="0" collapsed="false">
      <c r="A206" s="44" t="n">
        <v>3469</v>
      </c>
      <c r="B206" s="45" t="n">
        <v>406</v>
      </c>
      <c r="C206" s="46" t="n">
        <v>342.4</v>
      </c>
      <c r="D206" s="46" t="n">
        <v>342.4</v>
      </c>
      <c r="E206" s="46" t="n">
        <v>985.4</v>
      </c>
      <c r="F206" s="46" t="n">
        <v>4922.5</v>
      </c>
      <c r="G206" s="45" t="n">
        <v>62.17</v>
      </c>
      <c r="H206" s="46" t="n">
        <v>2591.3</v>
      </c>
      <c r="I206" s="46" t="n">
        <v>3729.7</v>
      </c>
      <c r="J206" s="46" t="n">
        <v>2458.9</v>
      </c>
      <c r="K206" s="46" t="n">
        <v>1270.8</v>
      </c>
      <c r="L206" s="47" t="n">
        <v>0</v>
      </c>
      <c r="M206" s="47" t="n">
        <v>0</v>
      </c>
      <c r="N206" s="46" t="n">
        <v>12500</v>
      </c>
      <c r="O206" s="46" t="n">
        <v>8049.5</v>
      </c>
    </row>
    <row r="207" customFormat="false" ht="15" hidden="false" customHeight="false" outlineLevel="0" collapsed="false">
      <c r="A207" s="44" t="n">
        <v>3486</v>
      </c>
      <c r="B207" s="45" t="n">
        <v>408</v>
      </c>
      <c r="C207" s="46" t="n">
        <v>342.4</v>
      </c>
      <c r="D207" s="46" t="n">
        <v>342.4</v>
      </c>
      <c r="E207" s="46" t="n">
        <v>994.8</v>
      </c>
      <c r="F207" s="46" t="n">
        <v>4922.5</v>
      </c>
      <c r="G207" s="45" t="n">
        <v>62.72</v>
      </c>
      <c r="H207" s="46" t="n">
        <v>2568.6</v>
      </c>
      <c r="I207" s="46" t="n">
        <v>3688.8</v>
      </c>
      <c r="J207" s="46" t="n">
        <v>2406.7</v>
      </c>
      <c r="K207" s="46" t="n">
        <v>1282.1</v>
      </c>
      <c r="L207" s="47" t="n">
        <v>0</v>
      </c>
      <c r="M207" s="47" t="n">
        <v>0</v>
      </c>
      <c r="N207" s="46" t="n">
        <v>12500</v>
      </c>
      <c r="O207" s="46" t="n">
        <v>8008.6</v>
      </c>
    </row>
    <row r="208" customFormat="false" ht="15" hidden="false" customHeight="false" outlineLevel="0" collapsed="false">
      <c r="A208" s="44" t="n">
        <v>3503</v>
      </c>
      <c r="B208" s="45" t="n">
        <v>410</v>
      </c>
      <c r="C208" s="46" t="n">
        <v>342.4</v>
      </c>
      <c r="D208" s="46" t="n">
        <v>342.4</v>
      </c>
      <c r="E208" s="46" t="n">
        <v>1004.5</v>
      </c>
      <c r="F208" s="46" t="n">
        <v>4922.5</v>
      </c>
      <c r="G208" s="45" t="n">
        <v>63.28</v>
      </c>
      <c r="H208" s="46" t="n">
        <v>2545.8</v>
      </c>
      <c r="I208" s="46" t="n">
        <v>3647.9</v>
      </c>
      <c r="J208" s="46" t="n">
        <v>2354.4</v>
      </c>
      <c r="K208" s="46" t="n">
        <v>1293.6</v>
      </c>
      <c r="L208" s="47" t="n">
        <v>0</v>
      </c>
      <c r="M208" s="47" t="n">
        <v>0</v>
      </c>
      <c r="N208" s="46" t="n">
        <v>12500</v>
      </c>
      <c r="O208" s="46" t="n">
        <v>7967.8</v>
      </c>
    </row>
    <row r="209" customFormat="false" ht="15" hidden="false" customHeight="false" outlineLevel="0" collapsed="false">
      <c r="A209" s="44" t="n">
        <v>3520</v>
      </c>
      <c r="B209" s="45" t="n">
        <v>412</v>
      </c>
      <c r="C209" s="46" t="n">
        <v>342.4</v>
      </c>
      <c r="D209" s="46" t="n">
        <v>342.4</v>
      </c>
      <c r="E209" s="46" t="n">
        <v>1014.4</v>
      </c>
      <c r="F209" s="46" t="n">
        <v>4922.5</v>
      </c>
      <c r="G209" s="45" t="n">
        <v>63.85</v>
      </c>
      <c r="H209" s="46" t="n">
        <v>2523.1</v>
      </c>
      <c r="I209" s="46" t="n">
        <v>3607.1</v>
      </c>
      <c r="J209" s="46" t="n">
        <v>2301.8</v>
      </c>
      <c r="K209" s="46" t="n">
        <v>1305.2</v>
      </c>
      <c r="L209" s="47" t="n">
        <v>0</v>
      </c>
      <c r="M209" s="47" t="n">
        <v>0</v>
      </c>
      <c r="N209" s="46" t="n">
        <v>12500</v>
      </c>
      <c r="O209" s="46" t="n">
        <v>7926.9</v>
      </c>
    </row>
    <row r="210" customFormat="false" ht="15" hidden="false" customHeight="false" outlineLevel="0" collapsed="false">
      <c r="A210" s="44" t="n">
        <v>3537</v>
      </c>
      <c r="B210" s="45" t="n">
        <v>414</v>
      </c>
      <c r="C210" s="46" t="n">
        <v>342.4</v>
      </c>
      <c r="D210" s="46" t="n">
        <v>342.4</v>
      </c>
      <c r="E210" s="46" t="n">
        <v>1024.6</v>
      </c>
      <c r="F210" s="46" t="n">
        <v>4922.5</v>
      </c>
      <c r="G210" s="45" t="n">
        <v>64.43</v>
      </c>
      <c r="H210" s="46" t="n">
        <v>2500.3</v>
      </c>
      <c r="I210" s="46" t="n">
        <v>3566.2</v>
      </c>
      <c r="J210" s="46" t="n">
        <v>2249.1</v>
      </c>
      <c r="K210" s="46" t="n">
        <v>1317.1</v>
      </c>
      <c r="L210" s="47" t="n">
        <v>0</v>
      </c>
      <c r="M210" s="47" t="n">
        <v>0</v>
      </c>
      <c r="N210" s="46" t="n">
        <v>12500</v>
      </c>
      <c r="O210" s="46" t="n">
        <v>7886</v>
      </c>
    </row>
    <row r="211" customFormat="false" ht="15" hidden="false" customHeight="false" outlineLevel="0" collapsed="false">
      <c r="A211" s="44" t="n">
        <v>3554</v>
      </c>
      <c r="B211" s="45" t="n">
        <v>416</v>
      </c>
      <c r="C211" s="46" t="n">
        <v>342.4</v>
      </c>
      <c r="D211" s="46" t="n">
        <v>342.4</v>
      </c>
      <c r="E211" s="46" t="n">
        <v>1034.9</v>
      </c>
      <c r="F211" s="46" t="n">
        <v>4922.5</v>
      </c>
      <c r="G211" s="45" t="n">
        <v>65.03</v>
      </c>
      <c r="H211" s="46" t="n">
        <v>2477.6</v>
      </c>
      <c r="I211" s="46" t="n">
        <v>3525.3</v>
      </c>
      <c r="J211" s="46" t="n">
        <v>2196.1</v>
      </c>
      <c r="K211" s="46" t="n">
        <v>1329.2</v>
      </c>
      <c r="L211" s="47" t="n">
        <v>0</v>
      </c>
      <c r="M211" s="47" t="n">
        <v>0</v>
      </c>
      <c r="N211" s="46" t="n">
        <v>12500</v>
      </c>
      <c r="O211" s="46" t="n">
        <v>7845.1</v>
      </c>
    </row>
    <row r="212" customFormat="false" ht="15" hidden="false" customHeight="false" outlineLevel="0" collapsed="false">
      <c r="A212" s="44" t="n">
        <v>3571</v>
      </c>
      <c r="B212" s="45" t="n">
        <v>418</v>
      </c>
      <c r="C212" s="46" t="n">
        <v>342.4</v>
      </c>
      <c r="D212" s="46" t="n">
        <v>342.4</v>
      </c>
      <c r="E212" s="46" t="n">
        <v>1045.5</v>
      </c>
      <c r="F212" s="46" t="n">
        <v>4922.5</v>
      </c>
      <c r="G212" s="45" t="n">
        <v>65.63</v>
      </c>
      <c r="H212" s="46" t="n">
        <v>2454.8</v>
      </c>
      <c r="I212" s="46" t="n">
        <v>3484.4</v>
      </c>
      <c r="J212" s="46" t="n">
        <v>2142.9</v>
      </c>
      <c r="K212" s="46" t="n">
        <v>1341.5</v>
      </c>
      <c r="L212" s="47" t="n">
        <v>0</v>
      </c>
      <c r="M212" s="47" t="n">
        <v>0</v>
      </c>
      <c r="N212" s="46" t="n">
        <v>12500</v>
      </c>
      <c r="O212" s="46" t="n">
        <v>7804.2</v>
      </c>
    </row>
    <row r="213" customFormat="false" ht="15" hidden="false" customHeight="false" outlineLevel="0" collapsed="false">
      <c r="A213" s="44" t="n">
        <v>3589</v>
      </c>
      <c r="B213" s="45" t="n">
        <v>420</v>
      </c>
      <c r="C213" s="46" t="n">
        <v>342.4</v>
      </c>
      <c r="D213" s="46" t="n">
        <v>342.4</v>
      </c>
      <c r="E213" s="46" t="n">
        <v>1056.3</v>
      </c>
      <c r="F213" s="46" t="n">
        <v>4922.5</v>
      </c>
      <c r="G213" s="45" t="n">
        <v>66.24</v>
      </c>
      <c r="H213" s="46" t="n">
        <v>2432.1</v>
      </c>
      <c r="I213" s="46" t="n">
        <v>3443.5</v>
      </c>
      <c r="J213" s="46" t="n">
        <v>2089.5</v>
      </c>
      <c r="K213" s="46" t="n">
        <v>1354</v>
      </c>
      <c r="L213" s="47" t="n">
        <v>0</v>
      </c>
      <c r="M213" s="47" t="n">
        <v>0</v>
      </c>
      <c r="N213" s="46" t="n">
        <v>12500</v>
      </c>
      <c r="O213" s="46" t="n">
        <v>7763.4</v>
      </c>
    </row>
    <row r="214" customFormat="false" ht="15" hidden="false" customHeight="false" outlineLevel="0" collapsed="false">
      <c r="A214" s="44" t="n">
        <v>3606</v>
      </c>
      <c r="B214" s="45" t="n">
        <v>422</v>
      </c>
      <c r="C214" s="46" t="n">
        <v>342.4</v>
      </c>
      <c r="D214" s="46" t="n">
        <v>342.4</v>
      </c>
      <c r="E214" s="46" t="n">
        <v>1067.3</v>
      </c>
      <c r="F214" s="46" t="n">
        <v>4922.5</v>
      </c>
      <c r="G214" s="45" t="n">
        <v>66.87</v>
      </c>
      <c r="H214" s="46" t="n">
        <v>2409.4</v>
      </c>
      <c r="I214" s="46" t="n">
        <v>3402.7</v>
      </c>
      <c r="J214" s="46" t="n">
        <v>2035.8</v>
      </c>
      <c r="K214" s="46" t="n">
        <v>1366.8</v>
      </c>
      <c r="L214" s="47" t="n">
        <v>0</v>
      </c>
      <c r="M214" s="47" t="n">
        <v>0</v>
      </c>
      <c r="N214" s="46" t="n">
        <v>12500</v>
      </c>
      <c r="O214" s="46" t="n">
        <v>7722.5</v>
      </c>
    </row>
    <row r="215" customFormat="false" ht="15" hidden="false" customHeight="false" outlineLevel="0" collapsed="false">
      <c r="A215" s="44" t="n">
        <v>3623</v>
      </c>
      <c r="B215" s="45" t="n">
        <v>424</v>
      </c>
      <c r="C215" s="46" t="n">
        <v>342.4</v>
      </c>
      <c r="D215" s="46" t="n">
        <v>342.4</v>
      </c>
      <c r="E215" s="46" t="n">
        <v>1078.3</v>
      </c>
      <c r="F215" s="46" t="n">
        <v>4922.5</v>
      </c>
      <c r="G215" s="45" t="n">
        <v>67.51</v>
      </c>
      <c r="H215" s="46" t="n">
        <v>2386.5</v>
      </c>
      <c r="I215" s="46" t="n">
        <v>3361.8</v>
      </c>
      <c r="J215" s="46" t="n">
        <v>1981.9</v>
      </c>
      <c r="K215" s="46" t="n">
        <v>1379.9</v>
      </c>
      <c r="L215" s="47" t="n">
        <v>0</v>
      </c>
      <c r="M215" s="47" t="n">
        <v>0</v>
      </c>
      <c r="N215" s="46" t="n">
        <v>12500</v>
      </c>
      <c r="O215" s="46" t="n">
        <v>7681.6</v>
      </c>
    </row>
    <row r="216" customFormat="false" ht="15" hidden="false" customHeight="false" outlineLevel="0" collapsed="false">
      <c r="A216" s="44" t="n">
        <v>3640</v>
      </c>
      <c r="B216" s="45" t="n">
        <v>426</v>
      </c>
      <c r="C216" s="46" t="n">
        <v>342.4</v>
      </c>
      <c r="D216" s="46" t="n">
        <v>342.4</v>
      </c>
      <c r="E216" s="46" t="n">
        <v>1089.4</v>
      </c>
      <c r="F216" s="46" t="n">
        <v>4922.5</v>
      </c>
      <c r="G216" s="45" t="n">
        <v>68.17</v>
      </c>
      <c r="H216" s="46" t="n">
        <v>2363.4</v>
      </c>
      <c r="I216" s="46" t="n">
        <v>3320.9</v>
      </c>
      <c r="J216" s="46" t="n">
        <v>1927.5</v>
      </c>
      <c r="K216" s="46" t="n">
        <v>1393.4</v>
      </c>
      <c r="L216" s="47" t="n">
        <v>0</v>
      </c>
      <c r="M216" s="47" t="n">
        <v>0</v>
      </c>
      <c r="N216" s="46" t="n">
        <v>12500</v>
      </c>
      <c r="O216" s="46" t="n">
        <v>7640.7</v>
      </c>
    </row>
    <row r="217" customFormat="false" ht="15" hidden="false" customHeight="false" outlineLevel="0" collapsed="false">
      <c r="A217" s="44" t="n">
        <v>3657</v>
      </c>
      <c r="B217" s="45" t="n">
        <v>428</v>
      </c>
      <c r="C217" s="46" t="n">
        <v>342.4</v>
      </c>
      <c r="D217" s="46" t="n">
        <v>342.4</v>
      </c>
      <c r="E217" s="46" t="n">
        <v>1100.5</v>
      </c>
      <c r="F217" s="46" t="n">
        <v>4922.5</v>
      </c>
      <c r="G217" s="45" t="n">
        <v>68.85</v>
      </c>
      <c r="H217" s="46" t="n">
        <v>2340</v>
      </c>
      <c r="I217" s="46" t="n">
        <v>3280</v>
      </c>
      <c r="J217" s="46" t="n">
        <v>1872.7</v>
      </c>
      <c r="K217" s="46" t="n">
        <v>1407.3</v>
      </c>
      <c r="L217" s="47" t="n">
        <v>0</v>
      </c>
      <c r="M217" s="47" t="n">
        <v>0</v>
      </c>
      <c r="N217" s="46" t="n">
        <v>12500</v>
      </c>
      <c r="O217" s="46" t="n">
        <v>7599.8</v>
      </c>
    </row>
    <row r="218" customFormat="false" ht="15" hidden="false" customHeight="false" outlineLevel="0" collapsed="false">
      <c r="A218" s="44" t="n">
        <v>3674</v>
      </c>
      <c r="B218" s="45" t="n">
        <v>430</v>
      </c>
      <c r="C218" s="46" t="n">
        <v>342.4</v>
      </c>
      <c r="D218" s="46" t="n">
        <v>342.4</v>
      </c>
      <c r="E218" s="46" t="n">
        <v>1111.7</v>
      </c>
      <c r="F218" s="46" t="n">
        <v>4922.5</v>
      </c>
      <c r="G218" s="45" t="n">
        <v>69.55</v>
      </c>
      <c r="H218" s="46" t="n">
        <v>2316.4</v>
      </c>
      <c r="I218" s="46" t="n">
        <v>3239.1</v>
      </c>
      <c r="J218" s="46" t="n">
        <v>1817.5</v>
      </c>
      <c r="K218" s="46" t="n">
        <v>1421.7</v>
      </c>
      <c r="L218" s="47" t="n">
        <v>0</v>
      </c>
      <c r="M218" s="47" t="n">
        <v>0</v>
      </c>
      <c r="N218" s="46" t="n">
        <v>12500</v>
      </c>
      <c r="O218" s="46" t="n">
        <v>7558.9</v>
      </c>
    </row>
    <row r="219" customFormat="false" ht="15" hidden="false" customHeight="false" outlineLevel="0" collapsed="false">
      <c r="A219" s="44" t="n">
        <v>3691</v>
      </c>
      <c r="B219" s="45" t="n">
        <v>432</v>
      </c>
      <c r="C219" s="46" t="n">
        <v>342.4</v>
      </c>
      <c r="D219" s="46" t="n">
        <v>342.4</v>
      </c>
      <c r="E219" s="46" t="n">
        <v>1122.9</v>
      </c>
      <c r="F219" s="46" t="n">
        <v>4922.5</v>
      </c>
      <c r="G219" s="45" t="n">
        <v>70.27</v>
      </c>
      <c r="H219" s="46" t="n">
        <v>2292.6</v>
      </c>
      <c r="I219" s="46" t="n">
        <v>3198.2</v>
      </c>
      <c r="J219" s="46" t="n">
        <v>1761.8</v>
      </c>
      <c r="K219" s="46" t="n">
        <v>1436.4</v>
      </c>
      <c r="L219" s="47" t="n">
        <v>0</v>
      </c>
      <c r="M219" s="47" t="n">
        <v>0</v>
      </c>
      <c r="N219" s="46" t="n">
        <v>12500</v>
      </c>
      <c r="O219" s="46" t="n">
        <v>7518.1</v>
      </c>
    </row>
    <row r="220" customFormat="false" ht="15" hidden="false" customHeight="false" outlineLevel="0" collapsed="false">
      <c r="A220" s="44" t="n">
        <v>3708</v>
      </c>
      <c r="B220" s="45" t="n">
        <v>434</v>
      </c>
      <c r="C220" s="46" t="n">
        <v>342.4</v>
      </c>
      <c r="D220" s="46" t="n">
        <v>342.4</v>
      </c>
      <c r="E220" s="46" t="n">
        <v>1134.3</v>
      </c>
      <c r="F220" s="46" t="n">
        <v>4922.5</v>
      </c>
      <c r="G220" s="45" t="n">
        <v>71.02</v>
      </c>
      <c r="H220" s="46" t="n">
        <v>2268.5</v>
      </c>
      <c r="I220" s="46" t="n">
        <v>3157.4</v>
      </c>
      <c r="J220" s="46" t="n">
        <v>1705.7</v>
      </c>
      <c r="K220" s="46" t="n">
        <v>1451.7</v>
      </c>
      <c r="L220" s="47" t="n">
        <v>0</v>
      </c>
      <c r="M220" s="47" t="n">
        <v>0</v>
      </c>
      <c r="N220" s="46" t="n">
        <v>12500</v>
      </c>
      <c r="O220" s="46" t="n">
        <v>7477.2</v>
      </c>
    </row>
    <row r="221" customFormat="false" ht="15" hidden="false" customHeight="false" outlineLevel="0" collapsed="false">
      <c r="A221" s="44" t="n">
        <v>3725</v>
      </c>
      <c r="B221" s="45" t="n">
        <v>436</v>
      </c>
      <c r="C221" s="46" t="n">
        <v>342.4</v>
      </c>
      <c r="D221" s="46" t="n">
        <v>342.4</v>
      </c>
      <c r="E221" s="46" t="n">
        <v>1145.7</v>
      </c>
      <c r="F221" s="46" t="n">
        <v>4922.5</v>
      </c>
      <c r="G221" s="45" t="n">
        <v>71.79</v>
      </c>
      <c r="H221" s="46" t="n">
        <v>2244.2</v>
      </c>
      <c r="I221" s="46" t="n">
        <v>3116.5</v>
      </c>
      <c r="J221" s="46" t="n">
        <v>1649.1</v>
      </c>
      <c r="K221" s="46" t="n">
        <v>1467.4</v>
      </c>
      <c r="L221" s="47" t="n">
        <v>0</v>
      </c>
      <c r="M221" s="47" t="n">
        <v>0</v>
      </c>
      <c r="N221" s="46" t="n">
        <v>12500</v>
      </c>
      <c r="O221" s="46" t="n">
        <v>7436.3</v>
      </c>
    </row>
    <row r="222" customFormat="false" ht="15" hidden="false" customHeight="false" outlineLevel="0" collapsed="false">
      <c r="A222" s="44" t="n">
        <v>3742</v>
      </c>
      <c r="B222" s="45" t="n">
        <v>438</v>
      </c>
      <c r="C222" s="46" t="n">
        <v>342.4</v>
      </c>
      <c r="D222" s="46" t="n">
        <v>342.4</v>
      </c>
      <c r="E222" s="46" t="n">
        <v>1157.2</v>
      </c>
      <c r="F222" s="46" t="n">
        <v>4922.5</v>
      </c>
      <c r="G222" s="45" t="n">
        <v>72.58</v>
      </c>
      <c r="H222" s="46" t="n">
        <v>2219.7</v>
      </c>
      <c r="I222" s="46" t="n">
        <v>3075.6</v>
      </c>
      <c r="J222" s="46" t="n">
        <v>1592</v>
      </c>
      <c r="K222" s="46" t="n">
        <v>1483.6</v>
      </c>
      <c r="L222" s="47" t="n">
        <v>0</v>
      </c>
      <c r="M222" s="47" t="n">
        <v>0</v>
      </c>
      <c r="N222" s="46" t="n">
        <v>12500</v>
      </c>
      <c r="O222" s="46" t="n">
        <v>7395.4</v>
      </c>
    </row>
    <row r="223" customFormat="false" ht="15" hidden="false" customHeight="false" outlineLevel="0" collapsed="false">
      <c r="A223" s="44" t="n">
        <v>3759</v>
      </c>
      <c r="B223" s="45" t="n">
        <v>440</v>
      </c>
      <c r="C223" s="46" t="n">
        <v>342.4</v>
      </c>
      <c r="D223" s="46" t="n">
        <v>342.4</v>
      </c>
      <c r="E223" s="46" t="n">
        <v>1168.8</v>
      </c>
      <c r="F223" s="46" t="n">
        <v>4922.5</v>
      </c>
      <c r="G223" s="45" t="n">
        <v>73.4</v>
      </c>
      <c r="H223" s="46" t="n">
        <v>2194.9</v>
      </c>
      <c r="I223" s="46" t="n">
        <v>3034.7</v>
      </c>
      <c r="J223" s="46" t="n">
        <v>1534.4</v>
      </c>
      <c r="K223" s="46" t="n">
        <v>1500.3</v>
      </c>
      <c r="L223" s="47" t="n">
        <v>0</v>
      </c>
      <c r="M223" s="47" t="n">
        <v>0</v>
      </c>
      <c r="N223" s="46" t="n">
        <v>12500</v>
      </c>
      <c r="O223" s="46" t="n">
        <v>7354.5</v>
      </c>
    </row>
    <row r="224" customFormat="false" ht="15" hidden="false" customHeight="false" outlineLevel="0" collapsed="false">
      <c r="A224" s="44" t="n">
        <v>3776</v>
      </c>
      <c r="B224" s="45" t="n">
        <v>442</v>
      </c>
      <c r="C224" s="46" t="n">
        <v>342.4</v>
      </c>
      <c r="D224" s="46" t="n">
        <v>342.4</v>
      </c>
      <c r="E224" s="46" t="n">
        <v>1180.6</v>
      </c>
      <c r="F224" s="46" t="n">
        <v>4922.5</v>
      </c>
      <c r="G224" s="45" t="n">
        <v>74.24</v>
      </c>
      <c r="H224" s="46" t="n">
        <v>2170</v>
      </c>
      <c r="I224" s="46" t="n">
        <v>2993.8</v>
      </c>
      <c r="J224" s="46" t="n">
        <v>1476.3</v>
      </c>
      <c r="K224" s="46" t="n">
        <v>1517.6</v>
      </c>
      <c r="L224" s="47" t="n">
        <v>0</v>
      </c>
      <c r="M224" s="47" t="n">
        <v>0</v>
      </c>
      <c r="N224" s="46" t="n">
        <v>12500</v>
      </c>
      <c r="O224" s="46" t="n">
        <v>7313.7</v>
      </c>
    </row>
    <row r="225" customFormat="false" ht="15" hidden="false" customHeight="false" outlineLevel="0" collapsed="false">
      <c r="A225" s="44" t="n">
        <v>3794</v>
      </c>
      <c r="B225" s="45" t="n">
        <v>444</v>
      </c>
      <c r="C225" s="46" t="n">
        <v>342.4</v>
      </c>
      <c r="D225" s="46" t="n">
        <v>342.4</v>
      </c>
      <c r="E225" s="46" t="n">
        <v>1192.6</v>
      </c>
      <c r="F225" s="46" t="n">
        <v>4922.5</v>
      </c>
      <c r="G225" s="45" t="n">
        <v>75.11</v>
      </c>
      <c r="H225" s="46" t="n">
        <v>2144.9</v>
      </c>
      <c r="I225" s="46" t="n">
        <v>2953</v>
      </c>
      <c r="J225" s="46" t="n">
        <v>1417.6</v>
      </c>
      <c r="K225" s="46" t="n">
        <v>1535.3</v>
      </c>
      <c r="L225" s="47" t="n">
        <v>0</v>
      </c>
      <c r="M225" s="47" t="n">
        <v>0</v>
      </c>
      <c r="N225" s="46" t="n">
        <v>12500</v>
      </c>
      <c r="O225" s="46" t="n">
        <v>7272.8</v>
      </c>
    </row>
    <row r="226" customFormat="false" ht="15" hidden="false" customHeight="false" outlineLevel="0" collapsed="false">
      <c r="A226" s="44" t="n">
        <v>3811</v>
      </c>
      <c r="B226" s="45" t="n">
        <v>446</v>
      </c>
      <c r="C226" s="46" t="n">
        <v>342.4</v>
      </c>
      <c r="D226" s="46" t="n">
        <v>342.4</v>
      </c>
      <c r="E226" s="46" t="n">
        <v>1204.7</v>
      </c>
      <c r="F226" s="46" t="n">
        <v>4922.5</v>
      </c>
      <c r="G226" s="45" t="n">
        <v>76.01</v>
      </c>
      <c r="H226" s="46" t="n">
        <v>2119.6</v>
      </c>
      <c r="I226" s="46" t="n">
        <v>2912.1</v>
      </c>
      <c r="J226" s="46" t="n">
        <v>1358.4</v>
      </c>
      <c r="K226" s="46" t="n">
        <v>1553.7</v>
      </c>
      <c r="L226" s="47" t="n">
        <v>0</v>
      </c>
      <c r="M226" s="47" t="n">
        <v>0</v>
      </c>
      <c r="N226" s="46" t="n">
        <v>12500</v>
      </c>
      <c r="O226" s="46" t="n">
        <v>7231.9</v>
      </c>
    </row>
    <row r="227" customFormat="false" ht="15" hidden="false" customHeight="false" outlineLevel="0" collapsed="false">
      <c r="A227" s="44" t="n">
        <v>3828</v>
      </c>
      <c r="B227" s="45" t="n">
        <v>448</v>
      </c>
      <c r="C227" s="46" t="n">
        <v>342.4</v>
      </c>
      <c r="D227" s="46" t="n">
        <v>342.4</v>
      </c>
      <c r="E227" s="46" t="n">
        <v>1217</v>
      </c>
      <c r="F227" s="46" t="n">
        <v>4922.5</v>
      </c>
      <c r="G227" s="45" t="n">
        <v>76.93</v>
      </c>
      <c r="H227" s="46" t="n">
        <v>2094.1</v>
      </c>
      <c r="I227" s="46" t="n">
        <v>2871.2</v>
      </c>
      <c r="J227" s="46" t="n">
        <v>1298.6</v>
      </c>
      <c r="K227" s="46" t="n">
        <v>1572.6</v>
      </c>
      <c r="L227" s="47" t="n">
        <v>0</v>
      </c>
      <c r="M227" s="47" t="n">
        <v>0</v>
      </c>
      <c r="N227" s="46" t="n">
        <v>12500</v>
      </c>
      <c r="O227" s="46" t="n">
        <v>7191</v>
      </c>
    </row>
    <row r="228" customFormat="false" ht="15" hidden="false" customHeight="false" outlineLevel="0" collapsed="false">
      <c r="A228" s="44" t="n">
        <v>3845</v>
      </c>
      <c r="B228" s="45" t="n">
        <v>450</v>
      </c>
      <c r="C228" s="46" t="n">
        <v>342.4</v>
      </c>
      <c r="D228" s="46" t="n">
        <v>342.4</v>
      </c>
      <c r="E228" s="46" t="n">
        <v>1229.6</v>
      </c>
      <c r="F228" s="46" t="n">
        <v>4922.5</v>
      </c>
      <c r="G228" s="45" t="n">
        <v>77.89</v>
      </c>
      <c r="H228" s="46" t="n">
        <v>2068.4</v>
      </c>
      <c r="I228" s="46" t="n">
        <v>2830.3</v>
      </c>
      <c r="J228" s="46" t="n">
        <v>1238.2</v>
      </c>
      <c r="K228" s="46" t="n">
        <v>1592.1</v>
      </c>
      <c r="L228" s="47" t="n">
        <v>0</v>
      </c>
      <c r="M228" s="47" t="n">
        <v>0</v>
      </c>
      <c r="N228" s="46" t="n">
        <v>12500</v>
      </c>
      <c r="O228" s="46" t="n">
        <v>7150.1</v>
      </c>
    </row>
    <row r="229" customFormat="false" ht="15" hidden="false" customHeight="false" outlineLevel="0" collapsed="false">
      <c r="A229" s="44" t="n">
        <v>3862</v>
      </c>
      <c r="B229" s="45" t="n">
        <v>452</v>
      </c>
      <c r="C229" s="46" t="n">
        <v>342.4</v>
      </c>
      <c r="D229" s="46" t="n">
        <v>342.4</v>
      </c>
      <c r="E229" s="46" t="n">
        <v>1242.4</v>
      </c>
      <c r="F229" s="46" t="n">
        <v>4922.5</v>
      </c>
      <c r="G229" s="45" t="n">
        <v>78.87</v>
      </c>
      <c r="H229" s="46" t="n">
        <v>2042.6</v>
      </c>
      <c r="I229" s="46" t="n">
        <v>2789.4</v>
      </c>
      <c r="J229" s="46" t="n">
        <v>1177.2</v>
      </c>
      <c r="K229" s="46" t="n">
        <v>1612.2</v>
      </c>
      <c r="L229" s="47" t="n">
        <v>0</v>
      </c>
      <c r="M229" s="47" t="n">
        <v>0</v>
      </c>
      <c r="N229" s="46" t="n">
        <v>12500</v>
      </c>
      <c r="O229" s="46" t="n">
        <v>7109.2</v>
      </c>
    </row>
    <row r="230" customFormat="false" ht="15" hidden="false" customHeight="false" outlineLevel="0" collapsed="false">
      <c r="A230" s="44" t="n">
        <v>3879</v>
      </c>
      <c r="B230" s="45" t="n">
        <v>454</v>
      </c>
      <c r="C230" s="46" t="n">
        <v>342.4</v>
      </c>
      <c r="D230" s="46" t="n">
        <v>342.4</v>
      </c>
      <c r="E230" s="46" t="n">
        <v>1255.4</v>
      </c>
      <c r="F230" s="46" t="n">
        <v>4922.5</v>
      </c>
      <c r="G230" s="45" t="n">
        <v>79.89</v>
      </c>
      <c r="H230" s="46" t="n">
        <v>2016.6</v>
      </c>
      <c r="I230" s="46" t="n">
        <v>2748.5</v>
      </c>
      <c r="J230" s="46" t="n">
        <v>1115.6</v>
      </c>
      <c r="K230" s="46" t="n">
        <v>1633</v>
      </c>
      <c r="L230" s="47" t="n">
        <v>0</v>
      </c>
      <c r="M230" s="47" t="n">
        <v>0</v>
      </c>
      <c r="N230" s="46" t="n">
        <v>12500</v>
      </c>
      <c r="O230" s="46" t="n">
        <v>7068.4</v>
      </c>
    </row>
    <row r="231" customFormat="false" ht="15" hidden="false" customHeight="false" outlineLevel="0" collapsed="false">
      <c r="A231" s="44" t="n">
        <v>3896</v>
      </c>
      <c r="B231" s="45" t="n">
        <v>456</v>
      </c>
      <c r="C231" s="46" t="n">
        <v>342.4</v>
      </c>
      <c r="D231" s="46" t="n">
        <v>342.4</v>
      </c>
      <c r="E231" s="46" t="n">
        <v>1268.7</v>
      </c>
      <c r="F231" s="46" t="n">
        <v>4922.5</v>
      </c>
      <c r="G231" s="45" t="n">
        <v>80.94</v>
      </c>
      <c r="H231" s="46" t="n">
        <v>1990.5</v>
      </c>
      <c r="I231" s="46" t="n">
        <v>2707.7</v>
      </c>
      <c r="J231" s="46" t="n">
        <v>1053.2</v>
      </c>
      <c r="K231" s="46" t="n">
        <v>1654.4</v>
      </c>
      <c r="L231" s="47" t="n">
        <v>0</v>
      </c>
      <c r="M231" s="47" t="n">
        <v>0</v>
      </c>
      <c r="N231" s="46" t="n">
        <v>12500</v>
      </c>
      <c r="O231" s="46" t="n">
        <v>7027.5</v>
      </c>
    </row>
    <row r="232" customFormat="false" ht="15" hidden="false" customHeight="false" outlineLevel="0" collapsed="false">
      <c r="A232" s="44" t="n">
        <v>3913</v>
      </c>
      <c r="B232" s="45" t="n">
        <v>458</v>
      </c>
      <c r="C232" s="46" t="n">
        <v>342.4</v>
      </c>
      <c r="D232" s="46" t="n">
        <v>342.4</v>
      </c>
      <c r="E232" s="46" t="n">
        <v>1282.4</v>
      </c>
      <c r="F232" s="46" t="n">
        <v>4922.5</v>
      </c>
      <c r="G232" s="45" t="n">
        <v>82.02</v>
      </c>
      <c r="H232" s="46" t="n">
        <v>1964.2</v>
      </c>
      <c r="I232" s="46" t="n">
        <v>2666.8</v>
      </c>
      <c r="J232" s="46" t="n">
        <v>990.2</v>
      </c>
      <c r="K232" s="46" t="n">
        <v>1676.6</v>
      </c>
      <c r="L232" s="47" t="n">
        <v>0</v>
      </c>
      <c r="M232" s="47" t="n">
        <v>0</v>
      </c>
      <c r="N232" s="46" t="n">
        <v>12500</v>
      </c>
      <c r="O232" s="46" t="n">
        <v>6986.6</v>
      </c>
    </row>
    <row r="233" customFormat="false" ht="15" hidden="false" customHeight="false" outlineLevel="0" collapsed="false">
      <c r="A233" s="44" t="n">
        <v>3930</v>
      </c>
      <c r="B233" s="45" t="n">
        <v>460</v>
      </c>
      <c r="C233" s="46" t="n">
        <v>342.4</v>
      </c>
      <c r="D233" s="46" t="n">
        <v>342.4</v>
      </c>
      <c r="E233" s="46" t="n">
        <v>1296.3</v>
      </c>
      <c r="F233" s="46" t="n">
        <v>4922.5</v>
      </c>
      <c r="G233" s="45" t="n">
        <v>83.14</v>
      </c>
      <c r="H233" s="46" t="n">
        <v>1937.8</v>
      </c>
      <c r="I233" s="46" t="n">
        <v>2625.9</v>
      </c>
      <c r="J233" s="46" t="n">
        <v>926.5</v>
      </c>
      <c r="K233" s="46" t="n">
        <v>1699.4</v>
      </c>
      <c r="L233" s="47" t="n">
        <v>0</v>
      </c>
      <c r="M233" s="47" t="n">
        <v>0</v>
      </c>
      <c r="N233" s="46" t="n">
        <v>12500</v>
      </c>
      <c r="O233" s="46" t="n">
        <v>6945.7</v>
      </c>
    </row>
    <row r="234" customFormat="false" ht="15" hidden="false" customHeight="false" outlineLevel="0" collapsed="false">
      <c r="A234" s="44" t="n">
        <v>3947</v>
      </c>
      <c r="B234" s="45" t="n">
        <v>462</v>
      </c>
      <c r="C234" s="46" t="n">
        <v>342.4</v>
      </c>
      <c r="D234" s="46" t="n">
        <v>342.4</v>
      </c>
      <c r="E234" s="46" t="n">
        <v>1310.7</v>
      </c>
      <c r="F234" s="46" t="n">
        <v>4922.5</v>
      </c>
      <c r="G234" s="45" t="n">
        <v>84.29</v>
      </c>
      <c r="H234" s="46" t="n">
        <v>1911.3</v>
      </c>
      <c r="I234" s="46" t="n">
        <v>2585</v>
      </c>
      <c r="J234" s="46" t="n">
        <v>862</v>
      </c>
      <c r="K234" s="46" t="n">
        <v>1723</v>
      </c>
      <c r="L234" s="47" t="n">
        <v>0</v>
      </c>
      <c r="M234" s="47" t="n">
        <v>0</v>
      </c>
      <c r="N234" s="46" t="n">
        <v>12500</v>
      </c>
      <c r="O234" s="46" t="n">
        <v>6904.8</v>
      </c>
    </row>
    <row r="235" customFormat="false" ht="15" hidden="false" customHeight="false" outlineLevel="0" collapsed="false">
      <c r="A235" s="44" t="n">
        <v>3964</v>
      </c>
      <c r="B235" s="45" t="n">
        <v>464</v>
      </c>
      <c r="C235" s="46" t="n">
        <v>342.4</v>
      </c>
      <c r="D235" s="46" t="n">
        <v>342.4</v>
      </c>
      <c r="E235" s="46" t="n">
        <v>1325.4</v>
      </c>
      <c r="F235" s="46" t="n">
        <v>4922.5</v>
      </c>
      <c r="G235" s="45" t="n">
        <v>85.48</v>
      </c>
      <c r="H235" s="46" t="n">
        <v>1884.7</v>
      </c>
      <c r="I235" s="46" t="n">
        <v>2544.1</v>
      </c>
      <c r="J235" s="46" t="n">
        <v>796.8</v>
      </c>
      <c r="K235" s="46" t="n">
        <v>1747.3</v>
      </c>
      <c r="L235" s="47" t="n">
        <v>0</v>
      </c>
      <c r="M235" s="47" t="n">
        <v>0</v>
      </c>
      <c r="N235" s="46" t="n">
        <v>12500</v>
      </c>
      <c r="O235" s="46" t="n">
        <v>6863.9</v>
      </c>
    </row>
    <row r="236" customFormat="false" ht="15" hidden="false" customHeight="false" outlineLevel="0" collapsed="false">
      <c r="A236" s="44" t="n">
        <v>3982</v>
      </c>
      <c r="B236" s="45" t="n">
        <v>466</v>
      </c>
      <c r="C236" s="46" t="n">
        <v>342.4</v>
      </c>
      <c r="D236" s="46" t="n">
        <v>342.4</v>
      </c>
      <c r="E236" s="46" t="n">
        <v>1340.5</v>
      </c>
      <c r="F236" s="46" t="n">
        <v>4922.5</v>
      </c>
      <c r="G236" s="45" t="n">
        <v>86.71</v>
      </c>
      <c r="H236" s="46" t="n">
        <v>1857.9</v>
      </c>
      <c r="I236" s="46" t="n">
        <v>2503.3</v>
      </c>
      <c r="J236" s="46" t="n">
        <v>730.7</v>
      </c>
      <c r="K236" s="46" t="n">
        <v>1772.5</v>
      </c>
      <c r="L236" s="47" t="n">
        <v>0</v>
      </c>
      <c r="M236" s="47" t="n">
        <v>0</v>
      </c>
      <c r="N236" s="46" t="n">
        <v>12500</v>
      </c>
      <c r="O236" s="46" t="n">
        <v>6823.1</v>
      </c>
    </row>
    <row r="237" customFormat="false" ht="15" hidden="false" customHeight="false" outlineLevel="0" collapsed="false">
      <c r="A237" s="44" t="n">
        <v>3999</v>
      </c>
      <c r="B237" s="45" t="n">
        <v>468</v>
      </c>
      <c r="C237" s="46" t="n">
        <v>342.4</v>
      </c>
      <c r="D237" s="46" t="n">
        <v>342.4</v>
      </c>
      <c r="E237" s="46" t="n">
        <v>1356</v>
      </c>
      <c r="F237" s="46" t="n">
        <v>4922.5</v>
      </c>
      <c r="G237" s="45" t="n">
        <v>87.99</v>
      </c>
      <c r="H237" s="46" t="n">
        <v>1831</v>
      </c>
      <c r="I237" s="46" t="n">
        <v>2462.4</v>
      </c>
      <c r="J237" s="46" t="n">
        <v>663.9</v>
      </c>
      <c r="K237" s="46" t="n">
        <v>1798.5</v>
      </c>
      <c r="L237" s="47" t="n">
        <v>0</v>
      </c>
      <c r="M237" s="47" t="n">
        <v>0</v>
      </c>
      <c r="N237" s="46" t="n">
        <v>12500</v>
      </c>
      <c r="O237" s="46" t="n">
        <v>6782.2</v>
      </c>
    </row>
    <row r="238" customFormat="false" ht="15" hidden="false" customHeight="false" outlineLevel="0" collapsed="false">
      <c r="A238" s="44" t="n">
        <v>4016</v>
      </c>
      <c r="B238" s="45" t="n">
        <v>470</v>
      </c>
      <c r="C238" s="46" t="n">
        <v>342.4</v>
      </c>
      <c r="D238" s="46" t="n">
        <v>342.4</v>
      </c>
      <c r="E238" s="46" t="n">
        <v>1372</v>
      </c>
      <c r="F238" s="46" t="n">
        <v>4922.5</v>
      </c>
      <c r="G238" s="45" t="n">
        <v>89.3</v>
      </c>
      <c r="H238" s="46" t="n">
        <v>1804.1</v>
      </c>
      <c r="I238" s="46" t="n">
        <v>2421.5</v>
      </c>
      <c r="J238" s="46" t="n">
        <v>596.1</v>
      </c>
      <c r="K238" s="46" t="n">
        <v>1825.4</v>
      </c>
      <c r="L238" s="47" t="n">
        <v>0</v>
      </c>
      <c r="M238" s="47" t="n">
        <v>0</v>
      </c>
      <c r="N238" s="46" t="n">
        <v>12500</v>
      </c>
      <c r="O238" s="46" t="n">
        <v>6741.3</v>
      </c>
    </row>
    <row r="239" customFormat="false" ht="15" hidden="false" customHeight="false" outlineLevel="0" collapsed="false">
      <c r="A239" s="44" t="n">
        <v>4033</v>
      </c>
      <c r="B239" s="45" t="n">
        <v>472</v>
      </c>
      <c r="C239" s="46" t="n">
        <v>342.4</v>
      </c>
      <c r="D239" s="46" t="n">
        <v>342.4</v>
      </c>
      <c r="E239" s="46" t="n">
        <v>1388.5</v>
      </c>
      <c r="F239" s="46" t="n">
        <v>4922.5</v>
      </c>
      <c r="G239" s="45" t="n">
        <v>90.66</v>
      </c>
      <c r="H239" s="46" t="n">
        <v>1777.1</v>
      </c>
      <c r="I239" s="46" t="n">
        <v>2380.6</v>
      </c>
      <c r="J239" s="46" t="n">
        <v>527.5</v>
      </c>
      <c r="K239" s="46" t="n">
        <v>1853.1</v>
      </c>
      <c r="L239" s="47" t="n">
        <v>0</v>
      </c>
      <c r="M239" s="47" t="n">
        <v>0</v>
      </c>
      <c r="N239" s="46" t="n">
        <v>12500</v>
      </c>
      <c r="O239" s="46" t="n">
        <v>6700.4</v>
      </c>
    </row>
    <row r="240" customFormat="false" ht="15" hidden="false" customHeight="false" outlineLevel="0" collapsed="false">
      <c r="A240" s="44" t="n">
        <v>4050</v>
      </c>
      <c r="B240" s="45" t="n">
        <v>474</v>
      </c>
      <c r="C240" s="46" t="n">
        <v>342.4</v>
      </c>
      <c r="D240" s="46" t="n">
        <v>342.4</v>
      </c>
      <c r="E240" s="46" t="n">
        <v>1405.6</v>
      </c>
      <c r="F240" s="46" t="n">
        <v>4922.5</v>
      </c>
      <c r="G240" s="45" t="n">
        <v>92.06</v>
      </c>
      <c r="H240" s="46" t="n">
        <v>1750</v>
      </c>
      <c r="I240" s="46" t="n">
        <v>2339.7</v>
      </c>
      <c r="J240" s="46" t="n">
        <v>457.9</v>
      </c>
      <c r="K240" s="46" t="n">
        <v>1881.8</v>
      </c>
      <c r="L240" s="47" t="n">
        <v>0</v>
      </c>
      <c r="M240" s="47" t="n">
        <v>0</v>
      </c>
      <c r="N240" s="46" t="n">
        <v>12500</v>
      </c>
      <c r="O240" s="46" t="n">
        <v>6659.5</v>
      </c>
    </row>
    <row r="241" customFormat="false" ht="15" hidden="false" customHeight="false" outlineLevel="0" collapsed="false">
      <c r="A241" s="44" t="n">
        <v>4067</v>
      </c>
      <c r="B241" s="45" t="n">
        <v>476</v>
      </c>
      <c r="C241" s="46" t="n">
        <v>342.4</v>
      </c>
      <c r="D241" s="46" t="n">
        <v>342.4</v>
      </c>
      <c r="E241" s="46" t="n">
        <v>1423.1</v>
      </c>
      <c r="F241" s="46" t="n">
        <v>4922.5</v>
      </c>
      <c r="G241" s="45" t="n">
        <v>93.51</v>
      </c>
      <c r="H241" s="46" t="n">
        <v>1722.8</v>
      </c>
      <c r="I241" s="46" t="n">
        <v>2298.8</v>
      </c>
      <c r="J241" s="46" t="n">
        <v>387.3</v>
      </c>
      <c r="K241" s="46" t="n">
        <v>1911.5</v>
      </c>
      <c r="L241" s="47" t="n">
        <v>0</v>
      </c>
      <c r="M241" s="47" t="n">
        <v>0</v>
      </c>
      <c r="N241" s="46" t="n">
        <v>12500</v>
      </c>
      <c r="O241" s="46" t="n">
        <v>6618.7</v>
      </c>
    </row>
    <row r="242" customFormat="false" ht="15" hidden="false" customHeight="false" outlineLevel="0" collapsed="false">
      <c r="A242" s="44" t="n">
        <v>4084</v>
      </c>
      <c r="B242" s="45" t="n">
        <v>478</v>
      </c>
      <c r="C242" s="46" t="n">
        <v>342.4</v>
      </c>
      <c r="D242" s="46" t="n">
        <v>342.4</v>
      </c>
      <c r="E242" s="46" t="n">
        <v>1441.3</v>
      </c>
      <c r="F242" s="46" t="n">
        <v>4922.5</v>
      </c>
      <c r="G242" s="45" t="n">
        <v>95.02</v>
      </c>
      <c r="H242" s="46" t="n">
        <v>1695.6</v>
      </c>
      <c r="I242" s="46" t="n">
        <v>2258</v>
      </c>
      <c r="J242" s="46" t="n">
        <v>315.7</v>
      </c>
      <c r="K242" s="46" t="n">
        <v>1942.2</v>
      </c>
      <c r="L242" s="47" t="n">
        <v>0</v>
      </c>
      <c r="M242" s="47" t="n">
        <v>0</v>
      </c>
      <c r="N242" s="46" t="n">
        <v>12500</v>
      </c>
      <c r="O242" s="46" t="n">
        <v>6577.8</v>
      </c>
    </row>
    <row r="243" customFormat="false" ht="15" hidden="false" customHeight="false" outlineLevel="0" collapsed="false">
      <c r="A243" s="44" t="n">
        <v>4101</v>
      </c>
      <c r="B243" s="45" t="n">
        <v>480</v>
      </c>
      <c r="C243" s="46" t="n">
        <v>342.4</v>
      </c>
      <c r="D243" s="46" t="n">
        <v>342.4</v>
      </c>
      <c r="E243" s="46" t="n">
        <v>1460.1</v>
      </c>
      <c r="F243" s="46" t="n">
        <v>4922.5</v>
      </c>
      <c r="G243" s="45" t="n">
        <v>96.57</v>
      </c>
      <c r="H243" s="46" t="n">
        <v>1668.3</v>
      </c>
      <c r="I243" s="46" t="n">
        <v>2217.1</v>
      </c>
      <c r="J243" s="46" t="n">
        <v>243.1</v>
      </c>
      <c r="K243" s="46" t="n">
        <v>1974</v>
      </c>
      <c r="L243" s="47" t="n">
        <v>0</v>
      </c>
      <c r="M243" s="47" t="n">
        <v>0</v>
      </c>
      <c r="N243" s="46" t="n">
        <v>12500</v>
      </c>
      <c r="O243" s="46" t="n">
        <v>6536.9</v>
      </c>
    </row>
    <row r="244" customFormat="false" ht="15" hidden="false" customHeight="false" outlineLevel="0" collapsed="false">
      <c r="A244" s="44" t="n">
        <v>4118</v>
      </c>
      <c r="B244" s="45" t="n">
        <v>482</v>
      </c>
      <c r="C244" s="46" t="n">
        <v>342.4</v>
      </c>
      <c r="D244" s="46" t="n">
        <v>342.4</v>
      </c>
      <c r="E244" s="46" t="n">
        <v>1479.6</v>
      </c>
      <c r="F244" s="46" t="n">
        <v>4922.5</v>
      </c>
      <c r="G244" s="45" t="n">
        <v>98.18</v>
      </c>
      <c r="H244" s="46" t="n">
        <v>1640.9</v>
      </c>
      <c r="I244" s="46" t="n">
        <v>2176.2</v>
      </c>
      <c r="J244" s="46" t="n">
        <v>169.3</v>
      </c>
      <c r="K244" s="46" t="n">
        <v>2006.9</v>
      </c>
      <c r="L244" s="47" t="n">
        <v>0</v>
      </c>
      <c r="M244" s="47" t="n">
        <v>0</v>
      </c>
      <c r="N244" s="46" t="n">
        <v>12500</v>
      </c>
      <c r="O244" s="46" t="n">
        <v>6496</v>
      </c>
    </row>
    <row r="245" customFormat="false" ht="15" hidden="false" customHeight="false" outlineLevel="0" collapsed="false">
      <c r="A245" s="44" t="n">
        <v>4135</v>
      </c>
      <c r="B245" s="45" t="n">
        <v>484</v>
      </c>
      <c r="C245" s="46" t="n">
        <v>342.4</v>
      </c>
      <c r="D245" s="46" t="n">
        <v>342.4</v>
      </c>
      <c r="E245" s="46" t="n">
        <v>1499.7</v>
      </c>
      <c r="F245" s="46" t="n">
        <v>4922.5</v>
      </c>
      <c r="G245" s="45" t="n">
        <v>99.84</v>
      </c>
      <c r="H245" s="46" t="n">
        <v>1613.6</v>
      </c>
      <c r="I245" s="46" t="n">
        <v>2135.3</v>
      </c>
      <c r="J245" s="46" t="n">
        <v>94.4</v>
      </c>
      <c r="K245" s="46" t="n">
        <v>2040.9</v>
      </c>
      <c r="L245" s="47" t="n">
        <v>0</v>
      </c>
      <c r="M245" s="47" t="n">
        <v>0</v>
      </c>
      <c r="N245" s="46" t="n">
        <v>12500</v>
      </c>
      <c r="O245" s="46" t="n">
        <v>6455.1</v>
      </c>
    </row>
    <row r="246" customFormat="false" ht="15" hidden="false" customHeight="false" outlineLevel="0" collapsed="false">
      <c r="A246" s="44" t="n">
        <v>4152</v>
      </c>
      <c r="B246" s="45" t="n">
        <v>486</v>
      </c>
      <c r="C246" s="46" t="n">
        <v>342.4</v>
      </c>
      <c r="D246" s="46" t="n">
        <v>342.4</v>
      </c>
      <c r="E246" s="46" t="n">
        <v>1520.6</v>
      </c>
      <c r="F246" s="46" t="n">
        <v>4922.5</v>
      </c>
      <c r="G246" s="45" t="n">
        <v>101.57</v>
      </c>
      <c r="H246" s="46" t="n">
        <v>1586.2</v>
      </c>
      <c r="I246" s="46" t="n">
        <v>2094.4</v>
      </c>
      <c r="J246" s="46" t="n">
        <v>18.3</v>
      </c>
      <c r="K246" s="46" t="n">
        <v>2076.2</v>
      </c>
      <c r="L246" s="47" t="n">
        <v>0</v>
      </c>
      <c r="M246" s="47" t="n">
        <v>0</v>
      </c>
      <c r="N246" s="46" t="n">
        <v>12500</v>
      </c>
      <c r="O246" s="46" t="n">
        <v>6414.2</v>
      </c>
    </row>
    <row r="247" customFormat="false" ht="15" hidden="false" customHeight="false" outlineLevel="0" collapsed="false">
      <c r="A247" s="44" t="n">
        <v>4156</v>
      </c>
      <c r="B247" s="45" t="n">
        <v>486.48</v>
      </c>
      <c r="C247" s="46" t="n">
        <v>342.4</v>
      </c>
      <c r="D247" s="46" t="n">
        <v>342.4</v>
      </c>
      <c r="E247" s="46" t="n">
        <v>1525.7</v>
      </c>
      <c r="F247" s="46" t="n">
        <v>4922.5</v>
      </c>
      <c r="G247" s="45" t="n">
        <v>101.99</v>
      </c>
      <c r="H247" s="46" t="n">
        <v>1579.7</v>
      </c>
      <c r="I247" s="46" t="n">
        <v>2084.7</v>
      </c>
      <c r="J247" s="46" t="n">
        <v>0</v>
      </c>
      <c r="K247" s="46" t="n">
        <v>2084.7</v>
      </c>
      <c r="L247" s="47" t="n">
        <v>1</v>
      </c>
      <c r="M247" s="47" t="n">
        <v>0</v>
      </c>
      <c r="N247" s="46" t="n">
        <v>12500</v>
      </c>
      <c r="O247" s="46" t="n">
        <v>6404.5</v>
      </c>
    </row>
    <row r="248" customFormat="false" ht="15" hidden="false" customHeight="false" outlineLevel="0" collapsed="false">
      <c r="A248" s="44" t="n">
        <v>4170</v>
      </c>
      <c r="B248" s="45" t="n">
        <v>488</v>
      </c>
      <c r="C248" s="46" t="n">
        <v>342.4</v>
      </c>
      <c r="D248" s="46" t="n">
        <v>342.4</v>
      </c>
      <c r="E248" s="46" t="n">
        <v>1504.8</v>
      </c>
      <c r="F248" s="46" t="n">
        <v>4922.5</v>
      </c>
      <c r="G248" s="45" t="n">
        <v>100.46</v>
      </c>
      <c r="H248" s="46" t="n">
        <v>1558.8</v>
      </c>
      <c r="I248" s="46" t="n">
        <v>2053.6</v>
      </c>
      <c r="J248" s="46" t="n">
        <v>0</v>
      </c>
      <c r="K248" s="46" t="n">
        <v>2053.6</v>
      </c>
      <c r="L248" s="47" t="n">
        <v>1</v>
      </c>
      <c r="M248" s="47" t="n">
        <v>1</v>
      </c>
      <c r="N248" s="46" t="n">
        <v>12500</v>
      </c>
      <c r="O248" s="46" t="n">
        <v>6373.4</v>
      </c>
    </row>
    <row r="249" customFormat="false" ht="15" hidden="false" customHeight="false" outlineLevel="0" collapsed="false">
      <c r="A249" s="44" t="n">
        <v>4187</v>
      </c>
      <c r="B249" s="45" t="n">
        <v>490</v>
      </c>
      <c r="C249" s="46" t="n">
        <v>342.4</v>
      </c>
      <c r="D249" s="46" t="n">
        <v>342.4</v>
      </c>
      <c r="E249" s="46" t="n">
        <v>1477.4</v>
      </c>
      <c r="F249" s="46" t="n">
        <v>4922.5</v>
      </c>
      <c r="G249" s="45" t="n">
        <v>98.46</v>
      </c>
      <c r="H249" s="46" t="n">
        <v>1531.3</v>
      </c>
      <c r="I249" s="46" t="n">
        <v>2012.7</v>
      </c>
      <c r="J249" s="46" t="n">
        <v>0</v>
      </c>
      <c r="K249" s="46" t="n">
        <v>2012.7</v>
      </c>
      <c r="L249" s="47" t="n">
        <v>1</v>
      </c>
      <c r="M249" s="47" t="n">
        <v>1</v>
      </c>
      <c r="N249" s="46" t="n">
        <v>12500</v>
      </c>
      <c r="O249" s="46" t="n">
        <v>6332.5</v>
      </c>
    </row>
    <row r="250" customFormat="false" ht="15" hidden="false" customHeight="false" outlineLevel="0" collapsed="false">
      <c r="A250" s="44" t="n">
        <v>4204</v>
      </c>
      <c r="B250" s="45" t="n">
        <v>492</v>
      </c>
      <c r="C250" s="46" t="n">
        <v>342.4</v>
      </c>
      <c r="D250" s="46" t="n">
        <v>342.4</v>
      </c>
      <c r="E250" s="46" t="n">
        <v>1449.9</v>
      </c>
      <c r="F250" s="46" t="n">
        <v>4922.5</v>
      </c>
      <c r="G250" s="45" t="n">
        <v>96.46</v>
      </c>
      <c r="H250" s="46" t="n">
        <v>1503.9</v>
      </c>
      <c r="I250" s="46" t="n">
        <v>1971.8</v>
      </c>
      <c r="J250" s="46" t="n">
        <v>0</v>
      </c>
      <c r="K250" s="46" t="n">
        <v>1971.8</v>
      </c>
      <c r="L250" s="47" t="n">
        <v>1</v>
      </c>
      <c r="M250" s="47" t="n">
        <v>1</v>
      </c>
      <c r="N250" s="46" t="n">
        <v>12500</v>
      </c>
      <c r="O250" s="46" t="n">
        <v>6291.6</v>
      </c>
    </row>
    <row r="251" customFormat="false" ht="15" hidden="false" customHeight="false" outlineLevel="0" collapsed="false">
      <c r="A251" s="44" t="n">
        <v>4221</v>
      </c>
      <c r="B251" s="45" t="n">
        <v>494</v>
      </c>
      <c r="C251" s="46" t="n">
        <v>342.4</v>
      </c>
      <c r="D251" s="46" t="n">
        <v>342.4</v>
      </c>
      <c r="E251" s="46" t="n">
        <v>1422.5</v>
      </c>
      <c r="F251" s="46" t="n">
        <v>4922.5</v>
      </c>
      <c r="G251" s="45" t="n">
        <v>94.46</v>
      </c>
      <c r="H251" s="46" t="n">
        <v>1476.5</v>
      </c>
      <c r="I251" s="46" t="n">
        <v>1930.9</v>
      </c>
      <c r="J251" s="46" t="n">
        <v>0</v>
      </c>
      <c r="K251" s="46" t="n">
        <v>1930.9</v>
      </c>
      <c r="L251" s="47" t="n">
        <v>1</v>
      </c>
      <c r="M251" s="47" t="n">
        <v>1</v>
      </c>
      <c r="N251" s="46" t="n">
        <v>12500</v>
      </c>
      <c r="O251" s="46" t="n">
        <v>6250.7</v>
      </c>
    </row>
    <row r="252" customFormat="false" ht="15" hidden="false" customHeight="false" outlineLevel="0" collapsed="false">
      <c r="A252" s="44" t="n">
        <v>4238</v>
      </c>
      <c r="B252" s="45" t="n">
        <v>496</v>
      </c>
      <c r="C252" s="46" t="n">
        <v>342.4</v>
      </c>
      <c r="D252" s="46" t="n">
        <v>342.4</v>
      </c>
      <c r="E252" s="46" t="n">
        <v>1395.1</v>
      </c>
      <c r="F252" s="46" t="n">
        <v>4922.5</v>
      </c>
      <c r="G252" s="45" t="n">
        <v>92.46</v>
      </c>
      <c r="H252" s="46" t="n">
        <v>1449</v>
      </c>
      <c r="I252" s="46" t="n">
        <v>1890</v>
      </c>
      <c r="J252" s="46" t="n">
        <v>0</v>
      </c>
      <c r="K252" s="46" t="n">
        <v>1890</v>
      </c>
      <c r="L252" s="47" t="n">
        <v>1</v>
      </c>
      <c r="M252" s="47" t="n">
        <v>1</v>
      </c>
      <c r="N252" s="46" t="n">
        <v>12500</v>
      </c>
      <c r="O252" s="46" t="n">
        <v>6209.8</v>
      </c>
    </row>
    <row r="253" customFormat="false" ht="15" hidden="false" customHeight="false" outlineLevel="0" collapsed="false">
      <c r="A253" s="44" t="n">
        <v>4255</v>
      </c>
      <c r="B253" s="45" t="n">
        <v>498</v>
      </c>
      <c r="C253" s="46" t="n">
        <v>342.4</v>
      </c>
      <c r="D253" s="46" t="n">
        <v>342.4</v>
      </c>
      <c r="E253" s="46" t="n">
        <v>1367.7</v>
      </c>
      <c r="F253" s="46" t="n">
        <v>4922.5</v>
      </c>
      <c r="G253" s="45" t="n">
        <v>90.46</v>
      </c>
      <c r="H253" s="46" t="n">
        <v>1421.6</v>
      </c>
      <c r="I253" s="46" t="n">
        <v>1849.1</v>
      </c>
      <c r="J253" s="46" t="n">
        <v>0</v>
      </c>
      <c r="K253" s="46" t="n">
        <v>1849.1</v>
      </c>
      <c r="L253" s="47" t="n">
        <v>1</v>
      </c>
      <c r="M253" s="47" t="n">
        <v>1</v>
      </c>
      <c r="N253" s="46" t="n">
        <v>12500</v>
      </c>
      <c r="O253" s="46" t="n">
        <v>6169</v>
      </c>
    </row>
    <row r="254" customFormat="false" ht="15" hidden="false" customHeight="false" outlineLevel="0" collapsed="false">
      <c r="A254" s="44" t="n">
        <v>4272</v>
      </c>
      <c r="B254" s="45" t="n">
        <v>500</v>
      </c>
      <c r="C254" s="46" t="n">
        <v>342.4</v>
      </c>
      <c r="D254" s="46" t="n">
        <v>342.4</v>
      </c>
      <c r="E254" s="46" t="n">
        <v>1340.2</v>
      </c>
      <c r="F254" s="46" t="n">
        <v>4922.5</v>
      </c>
      <c r="G254" s="45" t="n">
        <v>88.46</v>
      </c>
      <c r="H254" s="46" t="n">
        <v>1394.2</v>
      </c>
      <c r="I254" s="46" t="n">
        <v>1808.3</v>
      </c>
      <c r="J254" s="46" t="n">
        <v>0</v>
      </c>
      <c r="K254" s="46" t="n">
        <v>1808.3</v>
      </c>
      <c r="L254" s="47" t="n">
        <v>1</v>
      </c>
      <c r="M254" s="47" t="n">
        <v>1</v>
      </c>
      <c r="N254" s="46" t="n">
        <v>12500</v>
      </c>
      <c r="O254" s="46" t="n">
        <v>6128.1</v>
      </c>
    </row>
    <row r="255" customFormat="false" ht="15" hidden="false" customHeight="false" outlineLevel="0" collapsed="false">
      <c r="A255" s="44" t="n">
        <v>4289</v>
      </c>
      <c r="B255" s="45" t="n">
        <v>502</v>
      </c>
      <c r="C255" s="46" t="n">
        <v>342.4</v>
      </c>
      <c r="D255" s="46" t="n">
        <v>342.4</v>
      </c>
      <c r="E255" s="46" t="n">
        <v>1312.8</v>
      </c>
      <c r="F255" s="46" t="n">
        <v>4922.5</v>
      </c>
      <c r="G255" s="45" t="n">
        <v>86.46</v>
      </c>
      <c r="H255" s="46" t="n">
        <v>1366.8</v>
      </c>
      <c r="I255" s="46" t="n">
        <v>1767.4</v>
      </c>
      <c r="J255" s="46" t="n">
        <v>0</v>
      </c>
      <c r="K255" s="46" t="n">
        <v>1767.4</v>
      </c>
      <c r="L255" s="47" t="n">
        <v>1</v>
      </c>
      <c r="M255" s="47" t="n">
        <v>1</v>
      </c>
      <c r="N255" s="46" t="n">
        <v>12500</v>
      </c>
      <c r="O255" s="46" t="n">
        <v>6087.2</v>
      </c>
    </row>
    <row r="256" customFormat="false" ht="15" hidden="false" customHeight="false" outlineLevel="0" collapsed="false">
      <c r="A256" s="44" t="n">
        <v>4306</v>
      </c>
      <c r="B256" s="45" t="n">
        <v>504</v>
      </c>
      <c r="C256" s="46" t="n">
        <v>342.4</v>
      </c>
      <c r="D256" s="46" t="n">
        <v>342.4</v>
      </c>
      <c r="E256" s="46" t="n">
        <v>1285.4</v>
      </c>
      <c r="F256" s="46" t="n">
        <v>4922.5</v>
      </c>
      <c r="G256" s="45" t="n">
        <v>84.46</v>
      </c>
      <c r="H256" s="46" t="n">
        <v>1339.3</v>
      </c>
      <c r="I256" s="46" t="n">
        <v>1726.5</v>
      </c>
      <c r="J256" s="46" t="n">
        <v>0</v>
      </c>
      <c r="K256" s="46" t="n">
        <v>1726.5</v>
      </c>
      <c r="L256" s="47" t="n">
        <v>1</v>
      </c>
      <c r="M256" s="47" t="n">
        <v>1</v>
      </c>
      <c r="N256" s="46" t="n">
        <v>12500</v>
      </c>
      <c r="O256" s="46" t="n">
        <v>6046.3</v>
      </c>
    </row>
    <row r="257" customFormat="false" ht="15" hidden="false" customHeight="false" outlineLevel="0" collapsed="false">
      <c r="A257" s="44" t="n">
        <v>4323</v>
      </c>
      <c r="B257" s="45" t="n">
        <v>506</v>
      </c>
      <c r="C257" s="46" t="n">
        <v>342.4</v>
      </c>
      <c r="D257" s="46" t="n">
        <v>342.4</v>
      </c>
      <c r="E257" s="46" t="n">
        <v>1257.9</v>
      </c>
      <c r="F257" s="46" t="n">
        <v>4922.5</v>
      </c>
      <c r="G257" s="45" t="n">
        <v>82.46</v>
      </c>
      <c r="H257" s="46" t="n">
        <v>1311.9</v>
      </c>
      <c r="I257" s="46" t="n">
        <v>1685.6</v>
      </c>
      <c r="J257" s="46" t="n">
        <v>0</v>
      </c>
      <c r="K257" s="46" t="n">
        <v>1685.6</v>
      </c>
      <c r="L257" s="47" t="n">
        <v>1</v>
      </c>
      <c r="M257" s="47" t="n">
        <v>1</v>
      </c>
      <c r="N257" s="46" t="n">
        <v>12500</v>
      </c>
      <c r="O257" s="46" t="n">
        <v>6005.4</v>
      </c>
    </row>
    <row r="258" customFormat="false" ht="15" hidden="false" customHeight="false" outlineLevel="0" collapsed="false">
      <c r="A258" s="44" t="n">
        <v>4340</v>
      </c>
      <c r="B258" s="45" t="n">
        <v>508</v>
      </c>
      <c r="C258" s="46" t="n">
        <v>342.4</v>
      </c>
      <c r="D258" s="46" t="n">
        <v>342.4</v>
      </c>
      <c r="E258" s="46" t="n">
        <v>1230.5</v>
      </c>
      <c r="F258" s="46" t="n">
        <v>4922.5</v>
      </c>
      <c r="G258" s="45" t="n">
        <v>80.46</v>
      </c>
      <c r="H258" s="46" t="n">
        <v>1284.5</v>
      </c>
      <c r="I258" s="46" t="n">
        <v>1644.7</v>
      </c>
      <c r="J258" s="46" t="n">
        <v>0</v>
      </c>
      <c r="K258" s="46" t="n">
        <v>1644.7</v>
      </c>
      <c r="L258" s="47" t="n">
        <v>1</v>
      </c>
      <c r="M258" s="47" t="n">
        <v>1</v>
      </c>
      <c r="N258" s="46" t="n">
        <v>12500</v>
      </c>
      <c r="O258" s="46" t="n">
        <v>5964.5</v>
      </c>
    </row>
    <row r="259" customFormat="false" ht="15" hidden="false" customHeight="false" outlineLevel="0" collapsed="false">
      <c r="A259" s="44" t="n">
        <v>4357</v>
      </c>
      <c r="B259" s="45" t="n">
        <v>510</v>
      </c>
      <c r="C259" s="46" t="n">
        <v>342.4</v>
      </c>
      <c r="D259" s="46" t="n">
        <v>342.4</v>
      </c>
      <c r="E259" s="46" t="n">
        <v>1203.1</v>
      </c>
      <c r="F259" s="46" t="n">
        <v>4922.5</v>
      </c>
      <c r="G259" s="45" t="n">
        <v>78.46</v>
      </c>
      <c r="H259" s="46" t="n">
        <v>1257</v>
      </c>
      <c r="I259" s="46" t="n">
        <v>1603.9</v>
      </c>
      <c r="J259" s="46" t="n">
        <v>0</v>
      </c>
      <c r="K259" s="46" t="n">
        <v>1603.9</v>
      </c>
      <c r="L259" s="47" t="n">
        <v>1</v>
      </c>
      <c r="M259" s="47" t="n">
        <v>1</v>
      </c>
      <c r="N259" s="46" t="n">
        <v>12500</v>
      </c>
      <c r="O259" s="46" t="n">
        <v>5923.7</v>
      </c>
    </row>
    <row r="260" customFormat="false" ht="15" hidden="false" customHeight="false" outlineLevel="0" collapsed="false">
      <c r="A260" s="44" t="n">
        <v>4375</v>
      </c>
      <c r="B260" s="45" t="n">
        <v>512</v>
      </c>
      <c r="C260" s="46" t="n">
        <v>342.4</v>
      </c>
      <c r="D260" s="46" t="n">
        <v>342.4</v>
      </c>
      <c r="E260" s="46" t="n">
        <v>1175.6</v>
      </c>
      <c r="F260" s="46" t="n">
        <v>4922.5</v>
      </c>
      <c r="G260" s="45" t="n">
        <v>76.46</v>
      </c>
      <c r="H260" s="46" t="n">
        <v>1229.6</v>
      </c>
      <c r="I260" s="46" t="n">
        <v>1563</v>
      </c>
      <c r="J260" s="46" t="n">
        <v>0</v>
      </c>
      <c r="K260" s="46" t="n">
        <v>1563</v>
      </c>
      <c r="L260" s="47" t="n">
        <v>1</v>
      </c>
      <c r="M260" s="47" t="n">
        <v>1</v>
      </c>
      <c r="N260" s="46" t="n">
        <v>12500</v>
      </c>
      <c r="O260" s="46" t="n">
        <v>5882.8</v>
      </c>
    </row>
    <row r="261" customFormat="false" ht="15" hidden="false" customHeight="false" outlineLevel="0" collapsed="false">
      <c r="A261" s="44" t="n">
        <v>4392</v>
      </c>
      <c r="B261" s="45" t="n">
        <v>514</v>
      </c>
      <c r="C261" s="46" t="n">
        <v>342.4</v>
      </c>
      <c r="D261" s="46" t="n">
        <v>342.4</v>
      </c>
      <c r="E261" s="46" t="n">
        <v>1148.2</v>
      </c>
      <c r="F261" s="46" t="n">
        <v>4922.5</v>
      </c>
      <c r="G261" s="45" t="n">
        <v>74.46</v>
      </c>
      <c r="H261" s="46" t="n">
        <v>1202.2</v>
      </c>
      <c r="I261" s="46" t="n">
        <v>1522.1</v>
      </c>
      <c r="J261" s="46" t="n">
        <v>0</v>
      </c>
      <c r="K261" s="46" t="n">
        <v>1522.1</v>
      </c>
      <c r="L261" s="47" t="n">
        <v>1</v>
      </c>
      <c r="M261" s="47" t="n">
        <v>1</v>
      </c>
      <c r="N261" s="46" t="n">
        <v>12500</v>
      </c>
      <c r="O261" s="46" t="n">
        <v>5841.9</v>
      </c>
    </row>
    <row r="262" customFormat="false" ht="15" hidden="false" customHeight="false" outlineLevel="0" collapsed="false">
      <c r="A262" s="44" t="n">
        <v>4409</v>
      </c>
      <c r="B262" s="45" t="n">
        <v>516</v>
      </c>
      <c r="C262" s="46" t="n">
        <v>342.4</v>
      </c>
      <c r="D262" s="46" t="n">
        <v>342.4</v>
      </c>
      <c r="E262" s="46" t="n">
        <v>1120.8</v>
      </c>
      <c r="F262" s="46" t="n">
        <v>4922.5</v>
      </c>
      <c r="G262" s="45" t="n">
        <v>72.46</v>
      </c>
      <c r="H262" s="46" t="n">
        <v>1174.7</v>
      </c>
      <c r="I262" s="46" t="n">
        <v>1481.2</v>
      </c>
      <c r="J262" s="46" t="n">
        <v>0</v>
      </c>
      <c r="K262" s="46" t="n">
        <v>1481.2</v>
      </c>
      <c r="L262" s="47" t="n">
        <v>1</v>
      </c>
      <c r="M262" s="47" t="n">
        <v>1</v>
      </c>
      <c r="N262" s="46" t="n">
        <v>12500</v>
      </c>
      <c r="O262" s="46" t="n">
        <v>5801</v>
      </c>
    </row>
    <row r="263" customFormat="false" ht="15" hidden="false" customHeight="false" outlineLevel="0" collapsed="false">
      <c r="A263" s="44" t="n">
        <v>4426</v>
      </c>
      <c r="B263" s="45" t="n">
        <v>518</v>
      </c>
      <c r="C263" s="46" t="n">
        <v>342.4</v>
      </c>
      <c r="D263" s="46" t="n">
        <v>342.4</v>
      </c>
      <c r="E263" s="46" t="n">
        <v>1093.4</v>
      </c>
      <c r="F263" s="46" t="n">
        <v>4922.5</v>
      </c>
      <c r="G263" s="45" t="n">
        <v>70.46</v>
      </c>
      <c r="H263" s="46" t="n">
        <v>1147.3</v>
      </c>
      <c r="I263" s="46" t="n">
        <v>1440.3</v>
      </c>
      <c r="J263" s="46" t="n">
        <v>0</v>
      </c>
      <c r="K263" s="46" t="n">
        <v>1440.3</v>
      </c>
      <c r="L263" s="47" t="n">
        <v>1</v>
      </c>
      <c r="M263" s="47" t="n">
        <v>1</v>
      </c>
      <c r="N263" s="46" t="n">
        <v>12500</v>
      </c>
      <c r="O263" s="46" t="n">
        <v>5760.1</v>
      </c>
    </row>
    <row r="264" customFormat="false" ht="15" hidden="false" customHeight="false" outlineLevel="0" collapsed="false">
      <c r="A264" s="44" t="n">
        <v>4443</v>
      </c>
      <c r="B264" s="45" t="n">
        <v>520</v>
      </c>
      <c r="C264" s="46" t="n">
        <v>342.4</v>
      </c>
      <c r="D264" s="46" t="n">
        <v>342.4</v>
      </c>
      <c r="E264" s="46" t="n">
        <v>1065.9</v>
      </c>
      <c r="F264" s="46" t="n">
        <v>4922.5</v>
      </c>
      <c r="G264" s="45" t="n">
        <v>68.46</v>
      </c>
      <c r="H264" s="46" t="n">
        <v>1119.9</v>
      </c>
      <c r="I264" s="46" t="n">
        <v>1399.4</v>
      </c>
      <c r="J264" s="46" t="n">
        <v>0</v>
      </c>
      <c r="K264" s="46" t="n">
        <v>1399.4</v>
      </c>
      <c r="L264" s="47" t="n">
        <v>1</v>
      </c>
      <c r="M264" s="47" t="n">
        <v>1</v>
      </c>
      <c r="N264" s="46" t="n">
        <v>12500</v>
      </c>
      <c r="O264" s="46" t="n">
        <v>5719.3</v>
      </c>
    </row>
    <row r="265" customFormat="false" ht="15" hidden="false" customHeight="false" outlineLevel="0" collapsed="false">
      <c r="A265" s="44" t="n">
        <v>4460</v>
      </c>
      <c r="B265" s="45" t="n">
        <v>522</v>
      </c>
      <c r="C265" s="46" t="n">
        <v>342.4</v>
      </c>
      <c r="D265" s="46" t="n">
        <v>342.4</v>
      </c>
      <c r="E265" s="46" t="n">
        <v>1038.5</v>
      </c>
      <c r="F265" s="46" t="n">
        <v>4922.5</v>
      </c>
      <c r="G265" s="45" t="n">
        <v>66.46</v>
      </c>
      <c r="H265" s="46" t="n">
        <v>1092.5</v>
      </c>
      <c r="I265" s="46" t="n">
        <v>1358.6</v>
      </c>
      <c r="J265" s="46" t="n">
        <v>0</v>
      </c>
      <c r="K265" s="46" t="n">
        <v>1358.6</v>
      </c>
      <c r="L265" s="47" t="n">
        <v>1</v>
      </c>
      <c r="M265" s="47" t="n">
        <v>1</v>
      </c>
      <c r="N265" s="46" t="n">
        <v>12500</v>
      </c>
      <c r="O265" s="46" t="n">
        <v>5678.4</v>
      </c>
    </row>
    <row r="266" customFormat="false" ht="15" hidden="false" customHeight="false" outlineLevel="0" collapsed="false">
      <c r="A266" s="44" t="n">
        <v>4477</v>
      </c>
      <c r="B266" s="45" t="n">
        <v>524</v>
      </c>
      <c r="C266" s="46" t="n">
        <v>342.4</v>
      </c>
      <c r="D266" s="46" t="n">
        <v>342.4</v>
      </c>
      <c r="E266" s="46" t="n">
        <v>1011.1</v>
      </c>
      <c r="F266" s="46" t="n">
        <v>4922.5</v>
      </c>
      <c r="G266" s="45" t="n">
        <v>64.46</v>
      </c>
      <c r="H266" s="46" t="n">
        <v>1065</v>
      </c>
      <c r="I266" s="46" t="n">
        <v>1317.7</v>
      </c>
      <c r="J266" s="46" t="n">
        <v>0</v>
      </c>
      <c r="K266" s="46" t="n">
        <v>1317.7</v>
      </c>
      <c r="L266" s="47" t="n">
        <v>1</v>
      </c>
      <c r="M266" s="47" t="n">
        <v>1</v>
      </c>
      <c r="N266" s="46" t="n">
        <v>12500</v>
      </c>
      <c r="O266" s="46" t="n">
        <v>5637.5</v>
      </c>
    </row>
    <row r="267" customFormat="false" ht="15" hidden="false" customHeight="false" outlineLevel="0" collapsed="false">
      <c r="A267" s="44" t="n">
        <v>4494</v>
      </c>
      <c r="B267" s="45" t="n">
        <v>526</v>
      </c>
      <c r="C267" s="46" t="n">
        <v>342.4</v>
      </c>
      <c r="D267" s="46" t="n">
        <v>342.4</v>
      </c>
      <c r="E267" s="46" t="n">
        <v>983.6</v>
      </c>
      <c r="F267" s="46" t="n">
        <v>4922.5</v>
      </c>
      <c r="G267" s="45" t="n">
        <v>62.46</v>
      </c>
      <c r="H267" s="46" t="n">
        <v>1037.6</v>
      </c>
      <c r="I267" s="46" t="n">
        <v>1276.8</v>
      </c>
      <c r="J267" s="46" t="n">
        <v>0</v>
      </c>
      <c r="K267" s="46" t="n">
        <v>1276.8</v>
      </c>
      <c r="L267" s="47" t="n">
        <v>1</v>
      </c>
      <c r="M267" s="47" t="n">
        <v>1</v>
      </c>
      <c r="N267" s="46" t="n">
        <v>12500</v>
      </c>
      <c r="O267" s="46" t="n">
        <v>5596.6</v>
      </c>
    </row>
    <row r="268" customFormat="false" ht="15" hidden="false" customHeight="false" outlineLevel="0" collapsed="false">
      <c r="A268" s="44" t="n">
        <v>4511</v>
      </c>
      <c r="B268" s="45" t="n">
        <v>528</v>
      </c>
      <c r="C268" s="46" t="n">
        <v>342.4</v>
      </c>
      <c r="D268" s="46" t="n">
        <v>342.4</v>
      </c>
      <c r="E268" s="46" t="n">
        <v>956.2</v>
      </c>
      <c r="F268" s="46" t="n">
        <v>4922.5</v>
      </c>
      <c r="G268" s="45" t="n">
        <v>60.46</v>
      </c>
      <c r="H268" s="46" t="n">
        <v>1010.2</v>
      </c>
      <c r="I268" s="46" t="n">
        <v>1235.9</v>
      </c>
      <c r="J268" s="46" t="n">
        <v>0</v>
      </c>
      <c r="K268" s="46" t="n">
        <v>1235.9</v>
      </c>
      <c r="L268" s="47" t="n">
        <v>1</v>
      </c>
      <c r="M268" s="47" t="n">
        <v>1</v>
      </c>
      <c r="N268" s="46" t="n">
        <v>12500</v>
      </c>
      <c r="O268" s="46" t="n">
        <v>5555.7</v>
      </c>
    </row>
    <row r="269" customFormat="false" ht="15" hidden="false" customHeight="false" outlineLevel="0" collapsed="false">
      <c r="A269" s="44" t="n">
        <v>4528</v>
      </c>
      <c r="B269" s="45" t="n">
        <v>530</v>
      </c>
      <c r="C269" s="46" t="n">
        <v>342.4</v>
      </c>
      <c r="D269" s="46" t="n">
        <v>342.4</v>
      </c>
      <c r="E269" s="46" t="n">
        <v>928.8</v>
      </c>
      <c r="F269" s="46" t="n">
        <v>4922.5</v>
      </c>
      <c r="G269" s="45" t="n">
        <v>58.46</v>
      </c>
      <c r="H269" s="46" t="n">
        <v>982.8</v>
      </c>
      <c r="I269" s="46" t="n">
        <v>1195</v>
      </c>
      <c r="J269" s="46" t="n">
        <v>0</v>
      </c>
      <c r="K269" s="46" t="n">
        <v>1195</v>
      </c>
      <c r="L269" s="47" t="n">
        <v>1</v>
      </c>
      <c r="M269" s="47" t="n">
        <v>1</v>
      </c>
      <c r="N269" s="46" t="n">
        <v>12500</v>
      </c>
      <c r="O269" s="46" t="n">
        <v>5514.8</v>
      </c>
    </row>
    <row r="270" customFormat="false" ht="15" hidden="false" customHeight="false" outlineLevel="0" collapsed="false">
      <c r="A270" s="44" t="n">
        <v>4545</v>
      </c>
      <c r="B270" s="45" t="n">
        <v>532</v>
      </c>
      <c r="C270" s="46" t="n">
        <v>342.4</v>
      </c>
      <c r="D270" s="46" t="n">
        <v>342.4</v>
      </c>
      <c r="E270" s="46" t="n">
        <v>901.4</v>
      </c>
      <c r="F270" s="46" t="n">
        <v>4922.5</v>
      </c>
      <c r="G270" s="45" t="n">
        <v>56.46</v>
      </c>
      <c r="H270" s="46" t="n">
        <v>955.3</v>
      </c>
      <c r="I270" s="46" t="n">
        <v>1154.2</v>
      </c>
      <c r="J270" s="46" t="n">
        <v>0</v>
      </c>
      <c r="K270" s="46" t="n">
        <v>1154.2</v>
      </c>
      <c r="L270" s="47" t="n">
        <v>1</v>
      </c>
      <c r="M270" s="47" t="n">
        <v>1</v>
      </c>
      <c r="N270" s="46" t="n">
        <v>12500</v>
      </c>
      <c r="O270" s="46" t="n">
        <v>5474</v>
      </c>
    </row>
    <row r="271" customFormat="false" ht="15" hidden="false" customHeight="false" outlineLevel="0" collapsed="false">
      <c r="A271" s="44" t="n">
        <v>4563</v>
      </c>
      <c r="B271" s="45" t="n">
        <v>534</v>
      </c>
      <c r="C271" s="46" t="n">
        <v>342.4</v>
      </c>
      <c r="D271" s="46" t="n">
        <v>342.4</v>
      </c>
      <c r="E271" s="46" t="n">
        <v>873.9</v>
      </c>
      <c r="F271" s="46" t="n">
        <v>4922.5</v>
      </c>
      <c r="G271" s="45" t="n">
        <v>54.46</v>
      </c>
      <c r="H271" s="46" t="n">
        <v>927.9</v>
      </c>
      <c r="I271" s="46" t="n">
        <v>1113.3</v>
      </c>
      <c r="J271" s="46" t="n">
        <v>0</v>
      </c>
      <c r="K271" s="46" t="n">
        <v>1113.3</v>
      </c>
      <c r="L271" s="47" t="n">
        <v>1</v>
      </c>
      <c r="M271" s="47" t="n">
        <v>1</v>
      </c>
      <c r="N271" s="46" t="n">
        <v>12500</v>
      </c>
      <c r="O271" s="46" t="n">
        <v>5433.1</v>
      </c>
    </row>
    <row r="272" customFormat="false" ht="15" hidden="false" customHeight="false" outlineLevel="0" collapsed="false">
      <c r="A272" s="44" t="n">
        <v>4580</v>
      </c>
      <c r="B272" s="45" t="n">
        <v>536</v>
      </c>
      <c r="C272" s="46" t="n">
        <v>342.4</v>
      </c>
      <c r="D272" s="46" t="n">
        <v>342.4</v>
      </c>
      <c r="E272" s="46" t="n">
        <v>846.5</v>
      </c>
      <c r="F272" s="46" t="n">
        <v>4922.5</v>
      </c>
      <c r="G272" s="45" t="n">
        <v>52.46</v>
      </c>
      <c r="H272" s="46" t="n">
        <v>900.5</v>
      </c>
      <c r="I272" s="46" t="n">
        <v>1072.4</v>
      </c>
      <c r="J272" s="46" t="n">
        <v>0</v>
      </c>
      <c r="K272" s="46" t="n">
        <v>1072.4</v>
      </c>
      <c r="L272" s="47" t="n">
        <v>1</v>
      </c>
      <c r="M272" s="47" t="n">
        <v>1</v>
      </c>
      <c r="N272" s="46" t="n">
        <v>12500</v>
      </c>
      <c r="O272" s="46" t="n">
        <v>5392.2</v>
      </c>
    </row>
    <row r="273" customFormat="false" ht="15" hidden="false" customHeight="false" outlineLevel="0" collapsed="false">
      <c r="A273" s="44" t="n">
        <v>4597</v>
      </c>
      <c r="B273" s="45" t="n">
        <v>538</v>
      </c>
      <c r="C273" s="46" t="n">
        <v>342.4</v>
      </c>
      <c r="D273" s="46" t="n">
        <v>342.4</v>
      </c>
      <c r="E273" s="46" t="n">
        <v>819.1</v>
      </c>
      <c r="F273" s="46" t="n">
        <v>4922.5</v>
      </c>
      <c r="G273" s="45" t="n">
        <v>50.46</v>
      </c>
      <c r="H273" s="46" t="n">
        <v>873</v>
      </c>
      <c r="I273" s="46" t="n">
        <v>1031.5</v>
      </c>
      <c r="J273" s="46" t="n">
        <v>0</v>
      </c>
      <c r="K273" s="46" t="n">
        <v>1031.5</v>
      </c>
      <c r="L273" s="47" t="n">
        <v>1</v>
      </c>
      <c r="M273" s="47" t="n">
        <v>1</v>
      </c>
      <c r="N273" s="46" t="n">
        <v>12500</v>
      </c>
      <c r="O273" s="46" t="n">
        <v>5351.3</v>
      </c>
    </row>
    <row r="274" customFormat="false" ht="15" hidden="false" customHeight="false" outlineLevel="0" collapsed="false">
      <c r="A274" s="44" t="n">
        <v>4614</v>
      </c>
      <c r="B274" s="45" t="n">
        <v>540</v>
      </c>
      <c r="C274" s="46" t="n">
        <v>342.4</v>
      </c>
      <c r="D274" s="46" t="n">
        <v>342.4</v>
      </c>
      <c r="E274" s="46" t="n">
        <v>791.7</v>
      </c>
      <c r="F274" s="46" t="n">
        <v>4922.5</v>
      </c>
      <c r="G274" s="45" t="n">
        <v>48.46</v>
      </c>
      <c r="H274" s="46" t="n">
        <v>845.6</v>
      </c>
      <c r="I274" s="46" t="n">
        <v>990.6</v>
      </c>
      <c r="J274" s="46" t="n">
        <v>0</v>
      </c>
      <c r="K274" s="46" t="n">
        <v>990.6</v>
      </c>
      <c r="L274" s="47" t="n">
        <v>1</v>
      </c>
      <c r="M274" s="47" t="n">
        <v>1</v>
      </c>
      <c r="N274" s="46" t="n">
        <v>12500</v>
      </c>
      <c r="O274" s="46" t="n">
        <v>5310.4</v>
      </c>
    </row>
    <row r="275" customFormat="false" ht="15" hidden="false" customHeight="false" outlineLevel="0" collapsed="false">
      <c r="A275" s="44" t="n">
        <v>4631</v>
      </c>
      <c r="B275" s="45" t="n">
        <v>542</v>
      </c>
      <c r="C275" s="46" t="n">
        <v>342.4</v>
      </c>
      <c r="D275" s="46" t="n">
        <v>342.4</v>
      </c>
      <c r="E275" s="46" t="n">
        <v>764.2</v>
      </c>
      <c r="F275" s="46" t="n">
        <v>4922.5</v>
      </c>
      <c r="G275" s="45" t="n">
        <v>46.46</v>
      </c>
      <c r="H275" s="46" t="n">
        <v>818.2</v>
      </c>
      <c r="I275" s="46" t="n">
        <v>949.7</v>
      </c>
      <c r="J275" s="46" t="n">
        <v>0</v>
      </c>
      <c r="K275" s="46" t="n">
        <v>949.7</v>
      </c>
      <c r="L275" s="47" t="n">
        <v>1</v>
      </c>
      <c r="M275" s="47" t="n">
        <v>1</v>
      </c>
      <c r="N275" s="46" t="n">
        <v>12500</v>
      </c>
      <c r="O275" s="46" t="n">
        <v>5269.6</v>
      </c>
    </row>
    <row r="276" customFormat="false" ht="15" hidden="false" customHeight="false" outlineLevel="0" collapsed="false">
      <c r="A276" s="44" t="n">
        <v>4648</v>
      </c>
      <c r="B276" s="45" t="n">
        <v>544</v>
      </c>
      <c r="C276" s="46" t="n">
        <v>342.4</v>
      </c>
      <c r="D276" s="46" t="n">
        <v>342.4</v>
      </c>
      <c r="E276" s="46" t="n">
        <v>736.8</v>
      </c>
      <c r="F276" s="46" t="n">
        <v>4922.5</v>
      </c>
      <c r="G276" s="45" t="n">
        <v>44.46</v>
      </c>
      <c r="H276" s="46" t="n">
        <v>790.8</v>
      </c>
      <c r="I276" s="46" t="n">
        <v>908.9</v>
      </c>
      <c r="J276" s="46" t="n">
        <v>0</v>
      </c>
      <c r="K276" s="46" t="n">
        <v>908.9</v>
      </c>
      <c r="L276" s="47" t="n">
        <v>1</v>
      </c>
      <c r="M276" s="47" t="n">
        <v>1</v>
      </c>
      <c r="N276" s="46" t="n">
        <v>12500</v>
      </c>
      <c r="O276" s="46" t="n">
        <v>5228.7</v>
      </c>
    </row>
    <row r="277" customFormat="false" ht="15" hidden="false" customHeight="false" outlineLevel="0" collapsed="false">
      <c r="A277" s="44" t="n">
        <v>4665</v>
      </c>
      <c r="B277" s="45" t="n">
        <v>546</v>
      </c>
      <c r="C277" s="46" t="n">
        <v>342.4</v>
      </c>
      <c r="D277" s="46" t="n">
        <v>342.4</v>
      </c>
      <c r="E277" s="46" t="n">
        <v>709.4</v>
      </c>
      <c r="F277" s="46" t="n">
        <v>4922.5</v>
      </c>
      <c r="G277" s="45" t="n">
        <v>42.46</v>
      </c>
      <c r="H277" s="46" t="n">
        <v>763.4</v>
      </c>
      <c r="I277" s="46" t="n">
        <v>868</v>
      </c>
      <c r="J277" s="46" t="n">
        <v>0</v>
      </c>
      <c r="K277" s="46" t="n">
        <v>868</v>
      </c>
      <c r="L277" s="47" t="n">
        <v>1</v>
      </c>
      <c r="M277" s="47" t="n">
        <v>1</v>
      </c>
      <c r="N277" s="46" t="n">
        <v>12500</v>
      </c>
      <c r="O277" s="46" t="n">
        <v>5187.8</v>
      </c>
    </row>
    <row r="278" customFormat="false" ht="15" hidden="false" customHeight="false" outlineLevel="0" collapsed="false">
      <c r="A278" s="44" t="n">
        <v>4682</v>
      </c>
      <c r="B278" s="45" t="n">
        <v>548</v>
      </c>
      <c r="C278" s="46" t="n">
        <v>342.4</v>
      </c>
      <c r="D278" s="46" t="n">
        <v>342.4</v>
      </c>
      <c r="E278" s="46" t="n">
        <v>682</v>
      </c>
      <c r="F278" s="46" t="n">
        <v>4922.5</v>
      </c>
      <c r="G278" s="45" t="n">
        <v>40.46</v>
      </c>
      <c r="H278" s="46" t="n">
        <v>735.9</v>
      </c>
      <c r="I278" s="46" t="n">
        <v>827.1</v>
      </c>
      <c r="J278" s="46" t="n">
        <v>0</v>
      </c>
      <c r="K278" s="46" t="n">
        <v>827.1</v>
      </c>
      <c r="L278" s="47" t="n">
        <v>1</v>
      </c>
      <c r="M278" s="47" t="n">
        <v>1</v>
      </c>
      <c r="N278" s="46" t="n">
        <v>12500</v>
      </c>
      <c r="O278" s="46" t="n">
        <v>5146.9</v>
      </c>
    </row>
    <row r="279" customFormat="false" ht="15" hidden="false" customHeight="false" outlineLevel="0" collapsed="false">
      <c r="A279" s="44" t="n">
        <v>4699</v>
      </c>
      <c r="B279" s="45" t="n">
        <v>550</v>
      </c>
      <c r="C279" s="46" t="n">
        <v>342.4</v>
      </c>
      <c r="D279" s="46" t="n">
        <v>342.4</v>
      </c>
      <c r="E279" s="46" t="n">
        <v>654.5</v>
      </c>
      <c r="F279" s="46" t="n">
        <v>4922.5</v>
      </c>
      <c r="G279" s="45" t="n">
        <v>38.46</v>
      </c>
      <c r="H279" s="46" t="n">
        <v>708.5</v>
      </c>
      <c r="I279" s="46" t="n">
        <v>786.2</v>
      </c>
      <c r="J279" s="46" t="n">
        <v>0</v>
      </c>
      <c r="K279" s="46" t="n">
        <v>786.2</v>
      </c>
      <c r="L279" s="47" t="n">
        <v>1</v>
      </c>
      <c r="M279" s="47" t="n">
        <v>1</v>
      </c>
      <c r="N279" s="46" t="n">
        <v>12500</v>
      </c>
      <c r="O279" s="46" t="n">
        <v>5106</v>
      </c>
    </row>
    <row r="280" customFormat="false" ht="15" hidden="false" customHeight="false" outlineLevel="0" collapsed="false">
      <c r="A280" s="44" t="n">
        <v>4716</v>
      </c>
      <c r="B280" s="45" t="n">
        <v>552</v>
      </c>
      <c r="C280" s="46" t="n">
        <v>342.4</v>
      </c>
      <c r="D280" s="46" t="n">
        <v>342.4</v>
      </c>
      <c r="E280" s="46" t="n">
        <v>627.1</v>
      </c>
      <c r="F280" s="46" t="n">
        <v>4922.5</v>
      </c>
      <c r="G280" s="45" t="n">
        <v>36.46</v>
      </c>
      <c r="H280" s="46" t="n">
        <v>681.1</v>
      </c>
      <c r="I280" s="46" t="n">
        <v>745.3</v>
      </c>
      <c r="J280" s="46" t="n">
        <v>0</v>
      </c>
      <c r="K280" s="46" t="n">
        <v>745.3</v>
      </c>
      <c r="L280" s="47" t="n">
        <v>1</v>
      </c>
      <c r="M280" s="47" t="n">
        <v>1</v>
      </c>
      <c r="N280" s="46" t="n">
        <v>12500</v>
      </c>
      <c r="O280" s="46" t="n">
        <v>5065.1</v>
      </c>
    </row>
    <row r="281" customFormat="false" ht="15" hidden="false" customHeight="false" outlineLevel="0" collapsed="false">
      <c r="A281" s="44" t="n">
        <v>4733</v>
      </c>
      <c r="B281" s="45" t="n">
        <v>554</v>
      </c>
      <c r="C281" s="46" t="n">
        <v>342.4</v>
      </c>
      <c r="D281" s="46" t="n">
        <v>342.4</v>
      </c>
      <c r="E281" s="46" t="n">
        <v>599.7</v>
      </c>
      <c r="F281" s="46" t="n">
        <v>4922.5</v>
      </c>
      <c r="G281" s="45" t="n">
        <v>34.46</v>
      </c>
      <c r="H281" s="46" t="n">
        <v>653.6</v>
      </c>
      <c r="I281" s="46" t="n">
        <v>704.5</v>
      </c>
      <c r="J281" s="46" t="n">
        <v>0</v>
      </c>
      <c r="K281" s="46" t="n">
        <v>704.5</v>
      </c>
      <c r="L281" s="47" t="n">
        <v>1</v>
      </c>
      <c r="M281" s="47" t="n">
        <v>1</v>
      </c>
      <c r="N281" s="46" t="n">
        <v>12500</v>
      </c>
      <c r="O281" s="46" t="n">
        <v>5024.3</v>
      </c>
    </row>
    <row r="282" customFormat="false" ht="15" hidden="false" customHeight="false" outlineLevel="0" collapsed="false">
      <c r="A282" s="44" t="n">
        <v>4751</v>
      </c>
      <c r="B282" s="45" t="n">
        <v>556</v>
      </c>
      <c r="C282" s="46" t="n">
        <v>342.4</v>
      </c>
      <c r="D282" s="46" t="n">
        <v>342.4</v>
      </c>
      <c r="E282" s="46" t="n">
        <v>572.3</v>
      </c>
      <c r="F282" s="46" t="n">
        <v>4922.5</v>
      </c>
      <c r="G282" s="45" t="n">
        <v>32.46</v>
      </c>
      <c r="H282" s="46" t="n">
        <v>626.2</v>
      </c>
      <c r="I282" s="46" t="n">
        <v>663.6</v>
      </c>
      <c r="J282" s="46" t="n">
        <v>0</v>
      </c>
      <c r="K282" s="46" t="n">
        <v>663.6</v>
      </c>
      <c r="L282" s="47" t="n">
        <v>1</v>
      </c>
      <c r="M282" s="47" t="n">
        <v>1</v>
      </c>
      <c r="N282" s="46" t="n">
        <v>12500</v>
      </c>
      <c r="O282" s="46" t="n">
        <v>4983.4</v>
      </c>
    </row>
    <row r="283" customFormat="false" ht="15" hidden="false" customHeight="false" outlineLevel="0" collapsed="false">
      <c r="A283" s="44" t="n">
        <v>4768</v>
      </c>
      <c r="B283" s="45" t="n">
        <v>558</v>
      </c>
      <c r="C283" s="46" t="n">
        <v>342.4</v>
      </c>
      <c r="D283" s="46" t="n">
        <v>342.4</v>
      </c>
      <c r="E283" s="46" t="n">
        <v>544.8</v>
      </c>
      <c r="F283" s="46" t="n">
        <v>4922.5</v>
      </c>
      <c r="G283" s="45" t="n">
        <v>30.46</v>
      </c>
      <c r="H283" s="46" t="n">
        <v>598.8</v>
      </c>
      <c r="I283" s="46" t="n">
        <v>622.7</v>
      </c>
      <c r="J283" s="46" t="n">
        <v>0</v>
      </c>
      <c r="K283" s="46" t="n">
        <v>622.7</v>
      </c>
      <c r="L283" s="47" t="n">
        <v>1</v>
      </c>
      <c r="M283" s="47" t="n">
        <v>1</v>
      </c>
      <c r="N283" s="46" t="n">
        <v>12500</v>
      </c>
      <c r="O283" s="46" t="n">
        <v>4942.5</v>
      </c>
    </row>
    <row r="284" customFormat="false" ht="15" hidden="false" customHeight="false" outlineLevel="0" collapsed="false">
      <c r="A284" s="44" t="n">
        <v>4785</v>
      </c>
      <c r="B284" s="45" t="n">
        <v>560</v>
      </c>
      <c r="C284" s="46" t="n">
        <v>342.4</v>
      </c>
      <c r="D284" s="46" t="n">
        <v>342.4</v>
      </c>
      <c r="E284" s="46" t="n">
        <v>517.4</v>
      </c>
      <c r="F284" s="46" t="n">
        <v>4922.5</v>
      </c>
      <c r="G284" s="45" t="n">
        <v>28.46</v>
      </c>
      <c r="H284" s="46" t="n">
        <v>571.4</v>
      </c>
      <c r="I284" s="46" t="n">
        <v>581.8</v>
      </c>
      <c r="J284" s="46" t="n">
        <v>0</v>
      </c>
      <c r="K284" s="46" t="n">
        <v>581.8</v>
      </c>
      <c r="L284" s="47" t="n">
        <v>1</v>
      </c>
      <c r="M284" s="47" t="n">
        <v>1</v>
      </c>
      <c r="N284" s="46" t="n">
        <v>12500</v>
      </c>
      <c r="O284" s="46" t="n">
        <v>4901.6</v>
      </c>
    </row>
    <row r="285" customFormat="false" ht="15" hidden="false" customHeight="false" outlineLevel="0" collapsed="false">
      <c r="A285" s="44" t="n">
        <v>4802</v>
      </c>
      <c r="B285" s="45" t="n">
        <v>562</v>
      </c>
      <c r="C285" s="46" t="n">
        <v>342.4</v>
      </c>
      <c r="D285" s="46" t="n">
        <v>342.4</v>
      </c>
      <c r="E285" s="46" t="n">
        <v>490</v>
      </c>
      <c r="F285" s="46" t="n">
        <v>4922.5</v>
      </c>
      <c r="G285" s="45" t="n">
        <v>26.46</v>
      </c>
      <c r="H285" s="46" t="n">
        <v>543.9</v>
      </c>
      <c r="I285" s="46" t="n">
        <v>540.9</v>
      </c>
      <c r="J285" s="46" t="n">
        <v>0</v>
      </c>
      <c r="K285" s="46" t="n">
        <v>540.9</v>
      </c>
      <c r="L285" s="47" t="n">
        <v>1</v>
      </c>
      <c r="M285" s="47" t="n">
        <v>1</v>
      </c>
      <c r="N285" s="46" t="n">
        <v>12500</v>
      </c>
      <c r="O285" s="46" t="n">
        <v>4860.7</v>
      </c>
    </row>
    <row r="286" customFormat="false" ht="15" hidden="false" customHeight="false" outlineLevel="0" collapsed="false">
      <c r="A286" s="44" t="n">
        <v>4819</v>
      </c>
      <c r="B286" s="45" t="n">
        <v>564</v>
      </c>
      <c r="C286" s="46" t="n">
        <v>342.4</v>
      </c>
      <c r="D286" s="46" t="n">
        <v>342.4</v>
      </c>
      <c r="E286" s="46" t="n">
        <v>462.5</v>
      </c>
      <c r="F286" s="46" t="n">
        <v>4922.5</v>
      </c>
      <c r="G286" s="45" t="n">
        <v>24.46</v>
      </c>
      <c r="H286" s="46" t="n">
        <v>516.5</v>
      </c>
      <c r="I286" s="46" t="n">
        <v>500</v>
      </c>
      <c r="J286" s="46" t="n">
        <v>0</v>
      </c>
      <c r="K286" s="46" t="n">
        <v>500</v>
      </c>
      <c r="L286" s="47" t="n">
        <v>1</v>
      </c>
      <c r="M286" s="47" t="n">
        <v>1</v>
      </c>
      <c r="N286" s="46" t="n">
        <v>12500</v>
      </c>
      <c r="O286" s="46" t="n">
        <v>4819.9</v>
      </c>
    </row>
    <row r="287" customFormat="false" ht="15" hidden="false" customHeight="false" outlineLevel="0" collapsed="false">
      <c r="A287" s="44" t="n">
        <v>4836</v>
      </c>
      <c r="B287" s="45" t="n">
        <v>566</v>
      </c>
      <c r="C287" s="46" t="n">
        <v>342.4</v>
      </c>
      <c r="D287" s="46" t="n">
        <v>342.4</v>
      </c>
      <c r="E287" s="46" t="n">
        <v>435.1</v>
      </c>
      <c r="F287" s="46" t="n">
        <v>4922.5</v>
      </c>
      <c r="G287" s="45" t="n">
        <v>22.46</v>
      </c>
      <c r="H287" s="46" t="n">
        <v>489.1</v>
      </c>
      <c r="I287" s="46" t="n">
        <v>459.2</v>
      </c>
      <c r="J287" s="46" t="n">
        <v>0</v>
      </c>
      <c r="K287" s="46" t="n">
        <v>459.2</v>
      </c>
      <c r="L287" s="47" t="n">
        <v>1</v>
      </c>
      <c r="M287" s="47" t="n">
        <v>1</v>
      </c>
      <c r="N287" s="46" t="n">
        <v>12500</v>
      </c>
      <c r="O287" s="46" t="n">
        <v>4779</v>
      </c>
    </row>
    <row r="288" customFormat="false" ht="15" hidden="false" customHeight="false" outlineLevel="0" collapsed="false">
      <c r="A288" s="44" t="n">
        <v>4853</v>
      </c>
      <c r="B288" s="45" t="n">
        <v>568</v>
      </c>
      <c r="C288" s="46" t="n">
        <v>342.4</v>
      </c>
      <c r="D288" s="46" t="n">
        <v>342.4</v>
      </c>
      <c r="E288" s="46" t="n">
        <v>407.7</v>
      </c>
      <c r="F288" s="46" t="n">
        <v>4922.5</v>
      </c>
      <c r="G288" s="45" t="n">
        <v>20.46</v>
      </c>
      <c r="H288" s="46" t="n">
        <v>461.7</v>
      </c>
      <c r="I288" s="46" t="n">
        <v>418.3</v>
      </c>
      <c r="J288" s="46" t="n">
        <v>0</v>
      </c>
      <c r="K288" s="46" t="n">
        <v>418.3</v>
      </c>
      <c r="L288" s="47" t="n">
        <v>1</v>
      </c>
      <c r="M288" s="47" t="n">
        <v>1</v>
      </c>
      <c r="N288" s="46" t="n">
        <v>12500</v>
      </c>
      <c r="O288" s="46" t="n">
        <v>4738.1</v>
      </c>
    </row>
    <row r="289" customFormat="false" ht="15" hidden="false" customHeight="false" outlineLevel="0" collapsed="false">
      <c r="A289" s="44" t="n">
        <v>4870</v>
      </c>
      <c r="B289" s="45" t="n">
        <v>570</v>
      </c>
      <c r="C289" s="46" t="n">
        <v>342.4</v>
      </c>
      <c r="D289" s="46" t="n">
        <v>342.4</v>
      </c>
      <c r="E289" s="46" t="n">
        <v>380.3</v>
      </c>
      <c r="F289" s="46" t="n">
        <v>4922.5</v>
      </c>
      <c r="G289" s="45" t="n">
        <v>18.46</v>
      </c>
      <c r="H289" s="46" t="n">
        <v>434.2</v>
      </c>
      <c r="I289" s="46" t="n">
        <v>377.4</v>
      </c>
      <c r="J289" s="46" t="n">
        <v>0</v>
      </c>
      <c r="K289" s="46" t="n">
        <v>377.4</v>
      </c>
      <c r="L289" s="47" t="n">
        <v>1</v>
      </c>
      <c r="M289" s="47" t="n">
        <v>1</v>
      </c>
      <c r="N289" s="46" t="n">
        <v>12500</v>
      </c>
      <c r="O289" s="46" t="n">
        <v>4697.2</v>
      </c>
    </row>
    <row r="290" customFormat="false" ht="15" hidden="false" customHeight="false" outlineLevel="0" collapsed="false">
      <c r="A290" s="44" t="n">
        <v>4887</v>
      </c>
      <c r="B290" s="45" t="n">
        <v>572</v>
      </c>
      <c r="C290" s="46" t="n">
        <v>342.4</v>
      </c>
      <c r="D290" s="46" t="n">
        <v>342.4</v>
      </c>
      <c r="E290" s="46" t="n">
        <v>352.8</v>
      </c>
      <c r="F290" s="46" t="n">
        <v>4922.5</v>
      </c>
      <c r="G290" s="45" t="n">
        <v>16.46</v>
      </c>
      <c r="H290" s="46" t="n">
        <v>406.8</v>
      </c>
      <c r="I290" s="46" t="n">
        <v>336.5</v>
      </c>
      <c r="J290" s="46" t="n">
        <v>0</v>
      </c>
      <c r="K290" s="46" t="n">
        <v>336.5</v>
      </c>
      <c r="L290" s="47" t="n">
        <v>1</v>
      </c>
      <c r="M290" s="47" t="n">
        <v>1</v>
      </c>
      <c r="N290" s="46" t="n">
        <v>12500</v>
      </c>
      <c r="O290" s="46" t="n">
        <v>4656.3</v>
      </c>
    </row>
    <row r="291" customFormat="false" ht="15" hidden="false" customHeight="false" outlineLevel="0" collapsed="false">
      <c r="A291" s="44" t="n">
        <v>4904</v>
      </c>
      <c r="B291" s="45" t="n">
        <v>574</v>
      </c>
      <c r="C291" s="46" t="n">
        <v>342.4</v>
      </c>
      <c r="D291" s="46" t="n">
        <v>342.4</v>
      </c>
      <c r="E291" s="46" t="n">
        <v>325.4</v>
      </c>
      <c r="F291" s="46" t="n">
        <v>4922.5</v>
      </c>
      <c r="G291" s="45" t="n">
        <v>14.46</v>
      </c>
      <c r="H291" s="46" t="n">
        <v>379.4</v>
      </c>
      <c r="I291" s="46" t="n">
        <v>295.6</v>
      </c>
      <c r="J291" s="46" t="n">
        <v>0</v>
      </c>
      <c r="K291" s="46" t="n">
        <v>295.6</v>
      </c>
      <c r="L291" s="47" t="n">
        <v>1</v>
      </c>
      <c r="M291" s="47" t="n">
        <v>1</v>
      </c>
      <c r="N291" s="46" t="n">
        <v>12500</v>
      </c>
      <c r="O291" s="46" t="n">
        <v>4615.4</v>
      </c>
    </row>
    <row r="292" customFormat="false" ht="15" hidden="false" customHeight="false" outlineLevel="0" collapsed="false">
      <c r="A292" s="44" t="n">
        <v>4921</v>
      </c>
      <c r="B292" s="45" t="n">
        <v>576</v>
      </c>
      <c r="C292" s="46" t="n">
        <v>342.4</v>
      </c>
      <c r="D292" s="46" t="n">
        <v>342.4</v>
      </c>
      <c r="E292" s="46" t="n">
        <v>298</v>
      </c>
      <c r="F292" s="46" t="n">
        <v>4922.5</v>
      </c>
      <c r="G292" s="45" t="n">
        <v>12.46</v>
      </c>
      <c r="H292" s="46" t="n">
        <v>351.9</v>
      </c>
      <c r="I292" s="46" t="n">
        <v>254.8</v>
      </c>
      <c r="J292" s="46" t="n">
        <v>0</v>
      </c>
      <c r="K292" s="46" t="n">
        <v>254.8</v>
      </c>
      <c r="L292" s="47" t="n">
        <v>1</v>
      </c>
      <c r="M292" s="47" t="n">
        <v>1</v>
      </c>
      <c r="N292" s="46" t="n">
        <v>12500</v>
      </c>
      <c r="O292" s="46" t="n">
        <v>4574.6</v>
      </c>
    </row>
    <row r="293" customFormat="false" ht="15" hidden="false" customHeight="false" outlineLevel="0" collapsed="false">
      <c r="A293" s="44" t="n">
        <v>4938</v>
      </c>
      <c r="B293" s="45" t="n">
        <v>578</v>
      </c>
      <c r="C293" s="46" t="n">
        <v>342.4</v>
      </c>
      <c r="D293" s="46" t="n">
        <v>342.4</v>
      </c>
      <c r="E293" s="46" t="n">
        <v>270.5</v>
      </c>
      <c r="F293" s="46" t="n">
        <v>4922.5</v>
      </c>
      <c r="G293" s="45" t="n">
        <v>10.46</v>
      </c>
      <c r="H293" s="46" t="n">
        <v>324.5</v>
      </c>
      <c r="I293" s="46" t="n">
        <v>213.9</v>
      </c>
      <c r="J293" s="46" t="n">
        <v>0</v>
      </c>
      <c r="K293" s="46" t="n">
        <v>213.9</v>
      </c>
      <c r="L293" s="47" t="n">
        <v>1</v>
      </c>
      <c r="M293" s="47" t="n">
        <v>1</v>
      </c>
      <c r="N293" s="46" t="n">
        <v>12500</v>
      </c>
      <c r="O293" s="46" t="n">
        <v>4533.7</v>
      </c>
    </row>
    <row r="294" customFormat="false" ht="15" hidden="false" customHeight="false" outlineLevel="0" collapsed="false">
      <c r="A294" s="44" t="n">
        <v>4956</v>
      </c>
      <c r="B294" s="45" t="n">
        <v>580</v>
      </c>
      <c r="C294" s="46" t="n">
        <v>342.4</v>
      </c>
      <c r="D294" s="46" t="n">
        <v>342.4</v>
      </c>
      <c r="E294" s="46" t="n">
        <v>243.1</v>
      </c>
      <c r="F294" s="46" t="n">
        <v>4922.5</v>
      </c>
      <c r="G294" s="45" t="n">
        <v>8.46</v>
      </c>
      <c r="H294" s="46" t="n">
        <v>297.1</v>
      </c>
      <c r="I294" s="46" t="n">
        <v>173</v>
      </c>
      <c r="J294" s="46" t="n">
        <v>0</v>
      </c>
      <c r="K294" s="46" t="n">
        <v>173</v>
      </c>
      <c r="L294" s="47" t="n">
        <v>1</v>
      </c>
      <c r="M294" s="47" t="n">
        <v>1</v>
      </c>
      <c r="N294" s="46" t="n">
        <v>12500</v>
      </c>
      <c r="O294" s="46" t="n">
        <v>4492.8</v>
      </c>
    </row>
    <row r="295" customFormat="false" ht="15" hidden="false" customHeight="false" outlineLevel="0" collapsed="false">
      <c r="A295" s="44" t="n">
        <v>4973</v>
      </c>
      <c r="B295" s="45" t="n">
        <v>582</v>
      </c>
      <c r="C295" s="46" t="n">
        <v>342.4</v>
      </c>
      <c r="D295" s="46" t="n">
        <v>342.4</v>
      </c>
      <c r="E295" s="46" t="n">
        <v>215.7</v>
      </c>
      <c r="F295" s="46" t="n">
        <v>4922.5</v>
      </c>
      <c r="G295" s="45" t="n">
        <v>6.46</v>
      </c>
      <c r="H295" s="46" t="n">
        <v>269.7</v>
      </c>
      <c r="I295" s="46" t="n">
        <v>132.1</v>
      </c>
      <c r="J295" s="46" t="n">
        <v>0</v>
      </c>
      <c r="K295" s="46" t="n">
        <v>132.1</v>
      </c>
      <c r="L295" s="47" t="n">
        <v>1</v>
      </c>
      <c r="M295" s="47" t="n">
        <v>1</v>
      </c>
      <c r="N295" s="46" t="n">
        <v>12500</v>
      </c>
      <c r="O295" s="46" t="n">
        <v>4451.9</v>
      </c>
    </row>
    <row r="296" customFormat="false" ht="15" hidden="false" customHeight="false" outlineLevel="0" collapsed="false">
      <c r="A296" s="44" t="n">
        <v>4990</v>
      </c>
      <c r="B296" s="45" t="n">
        <v>584</v>
      </c>
      <c r="C296" s="46" t="n">
        <v>342.4</v>
      </c>
      <c r="D296" s="46" t="n">
        <v>342.4</v>
      </c>
      <c r="E296" s="46" t="n">
        <v>188.3</v>
      </c>
      <c r="F296" s="46" t="n">
        <v>4922.5</v>
      </c>
      <c r="G296" s="45" t="n">
        <v>4.46</v>
      </c>
      <c r="H296" s="46" t="n">
        <v>242.2</v>
      </c>
      <c r="I296" s="46" t="n">
        <v>91.2</v>
      </c>
      <c r="J296" s="46" t="n">
        <v>0</v>
      </c>
      <c r="K296" s="46" t="n">
        <v>91.2</v>
      </c>
      <c r="L296" s="47" t="n">
        <v>1</v>
      </c>
      <c r="M296" s="47" t="n">
        <v>1</v>
      </c>
      <c r="N296" s="46" t="n">
        <v>12500</v>
      </c>
      <c r="O296" s="46" t="n">
        <v>4411</v>
      </c>
    </row>
    <row r="297" customFormat="false" ht="15" hidden="false" customHeight="false" outlineLevel="0" collapsed="false">
      <c r="A297" s="44" t="n">
        <v>5007</v>
      </c>
      <c r="B297" s="45" t="n">
        <v>586</v>
      </c>
      <c r="C297" s="46" t="n">
        <v>342.4</v>
      </c>
      <c r="D297" s="46" t="n">
        <v>342.4</v>
      </c>
      <c r="E297" s="46" t="n">
        <v>160.8</v>
      </c>
      <c r="F297" s="46" t="n">
        <v>4922.5</v>
      </c>
      <c r="G297" s="45" t="n">
        <v>2.46</v>
      </c>
      <c r="H297" s="46" t="n">
        <v>214.8</v>
      </c>
      <c r="I297" s="46" t="n">
        <v>50.3</v>
      </c>
      <c r="J297" s="46" t="n">
        <v>0</v>
      </c>
      <c r="K297" s="46" t="n">
        <v>50.3</v>
      </c>
      <c r="L297" s="47" t="n">
        <v>1</v>
      </c>
      <c r="M297" s="47" t="n">
        <v>1</v>
      </c>
      <c r="N297" s="46" t="n">
        <v>12500</v>
      </c>
      <c r="O297" s="46" t="n">
        <v>4370.2</v>
      </c>
    </row>
    <row r="298" customFormat="false" ht="15" hidden="false" customHeight="false" outlineLevel="0" collapsed="false">
      <c r="A298" s="44" t="n">
        <v>5024</v>
      </c>
      <c r="B298" s="45" t="n">
        <v>588</v>
      </c>
      <c r="C298" s="46" t="n">
        <v>342.4</v>
      </c>
      <c r="D298" s="46" t="n">
        <v>342.4</v>
      </c>
      <c r="E298" s="46" t="n">
        <v>133.4</v>
      </c>
      <c r="F298" s="46" t="n">
        <v>4922.5</v>
      </c>
      <c r="G298" s="45" t="n">
        <v>0.46</v>
      </c>
      <c r="H298" s="46" t="n">
        <v>187.4</v>
      </c>
      <c r="I298" s="46" t="n">
        <v>9.5</v>
      </c>
      <c r="J298" s="46" t="n">
        <v>0</v>
      </c>
      <c r="K298" s="46" t="n">
        <v>9.5</v>
      </c>
      <c r="L298" s="47" t="n">
        <v>1</v>
      </c>
      <c r="M298" s="47" t="n">
        <v>1</v>
      </c>
      <c r="N298" s="46" t="n">
        <v>12500</v>
      </c>
      <c r="O298" s="46" t="n">
        <v>4329.3</v>
      </c>
    </row>
    <row r="299" customFormat="false" ht="15" hidden="false" customHeight="false" outlineLevel="0" collapsed="false">
      <c r="A299" s="44" t="n">
        <v>5028</v>
      </c>
      <c r="B299" s="45" t="n">
        <v>588.46</v>
      </c>
      <c r="C299" s="46" t="n">
        <v>342.4</v>
      </c>
      <c r="D299" s="46" t="n">
        <v>342.4</v>
      </c>
      <c r="E299" s="46" t="n">
        <v>181</v>
      </c>
      <c r="F299" s="46" t="n">
        <v>4922.5</v>
      </c>
      <c r="G299" s="45" t="n">
        <v>0</v>
      </c>
      <c r="H299" s="46" t="n">
        <v>181</v>
      </c>
      <c r="I299" s="46" t="n">
        <v>0</v>
      </c>
      <c r="J299" s="46" t="n">
        <v>0</v>
      </c>
      <c r="K299" s="46" t="n">
        <v>0</v>
      </c>
      <c r="L299" s="47" t="n">
        <v>0</v>
      </c>
      <c r="M299" s="47" t="n">
        <v>0</v>
      </c>
      <c r="N299" s="46" t="n">
        <v>12500</v>
      </c>
      <c r="O299" s="46" t="n">
        <v>4319.8</v>
      </c>
    </row>
    <row r="300" customFormat="false" ht="15" hidden="false" customHeight="false" outlineLevel="0" collapsed="false">
      <c r="A300" s="44" t="n">
        <v>5041</v>
      </c>
      <c r="B300" s="45" t="n">
        <v>590</v>
      </c>
      <c r="C300" s="46" t="n">
        <v>342.4</v>
      </c>
      <c r="D300" s="46" t="n">
        <v>342.4</v>
      </c>
      <c r="E300" s="46" t="n">
        <v>179.9</v>
      </c>
      <c r="F300" s="46" t="n">
        <v>4922.5</v>
      </c>
      <c r="G300" s="45" t="n">
        <v>0</v>
      </c>
      <c r="H300" s="46" t="n">
        <v>179.9</v>
      </c>
      <c r="I300" s="46" t="n">
        <v>0</v>
      </c>
      <c r="J300" s="46" t="n">
        <v>0</v>
      </c>
      <c r="K300" s="46" t="n">
        <v>0</v>
      </c>
      <c r="L300" s="47" t="n">
        <v>0</v>
      </c>
      <c r="M300" s="47" t="n">
        <v>0</v>
      </c>
      <c r="N300" s="46" t="n">
        <v>12500</v>
      </c>
      <c r="O300" s="46" t="n">
        <v>4288.4</v>
      </c>
    </row>
    <row r="301" customFormat="false" ht="15" hidden="false" customHeight="false" outlineLevel="0" collapsed="false">
      <c r="A301" s="44" t="n">
        <v>5058</v>
      </c>
      <c r="B301" s="45" t="n">
        <v>592</v>
      </c>
      <c r="C301" s="46" t="n">
        <v>342.4</v>
      </c>
      <c r="D301" s="46" t="n">
        <v>342.4</v>
      </c>
      <c r="E301" s="46" t="n">
        <v>178.4</v>
      </c>
      <c r="F301" s="46" t="n">
        <v>4922.5</v>
      </c>
      <c r="G301" s="45" t="n">
        <v>0</v>
      </c>
      <c r="H301" s="46" t="n">
        <v>178.4</v>
      </c>
      <c r="I301" s="46" t="n">
        <v>0</v>
      </c>
      <c r="J301" s="46" t="n">
        <v>0</v>
      </c>
      <c r="K301" s="46" t="n">
        <v>0</v>
      </c>
      <c r="L301" s="47" t="n">
        <v>0</v>
      </c>
      <c r="M301" s="47" t="n">
        <v>0</v>
      </c>
      <c r="N301" s="46" t="n">
        <v>12500</v>
      </c>
      <c r="O301" s="46" t="n">
        <v>4247.5</v>
      </c>
    </row>
    <row r="302" customFormat="false" ht="15" hidden="false" customHeight="false" outlineLevel="0" collapsed="false">
      <c r="A302" s="44" t="n">
        <v>5075</v>
      </c>
      <c r="B302" s="45" t="n">
        <v>594</v>
      </c>
      <c r="C302" s="46" t="n">
        <v>342.4</v>
      </c>
      <c r="D302" s="46" t="n">
        <v>342.4</v>
      </c>
      <c r="E302" s="46" t="n">
        <v>176.9</v>
      </c>
      <c r="F302" s="46" t="n">
        <v>4922.5</v>
      </c>
      <c r="G302" s="45" t="n">
        <v>0</v>
      </c>
      <c r="H302" s="46" t="n">
        <v>176.9</v>
      </c>
      <c r="I302" s="46" t="n">
        <v>0</v>
      </c>
      <c r="J302" s="46" t="n">
        <v>0</v>
      </c>
      <c r="K302" s="46" t="n">
        <v>0</v>
      </c>
      <c r="L302" s="47" t="n">
        <v>0</v>
      </c>
      <c r="M302" s="47" t="n">
        <v>0</v>
      </c>
      <c r="N302" s="46" t="n">
        <v>12500</v>
      </c>
      <c r="O302" s="46" t="n">
        <v>4206.6</v>
      </c>
    </row>
    <row r="303" customFormat="false" ht="15" hidden="false" customHeight="false" outlineLevel="0" collapsed="false">
      <c r="A303" s="44" t="n">
        <v>5092</v>
      </c>
      <c r="B303" s="45" t="n">
        <v>596</v>
      </c>
      <c r="C303" s="46" t="n">
        <v>342.4</v>
      </c>
      <c r="D303" s="46" t="n">
        <v>342.4</v>
      </c>
      <c r="E303" s="46" t="n">
        <v>175.4</v>
      </c>
      <c r="F303" s="46" t="n">
        <v>4922.5</v>
      </c>
      <c r="G303" s="45" t="n">
        <v>0</v>
      </c>
      <c r="H303" s="46" t="n">
        <v>175.4</v>
      </c>
      <c r="I303" s="46" t="n">
        <v>0</v>
      </c>
      <c r="J303" s="46" t="n">
        <v>0</v>
      </c>
      <c r="K303" s="46" t="n">
        <v>0</v>
      </c>
      <c r="L303" s="47" t="n">
        <v>0</v>
      </c>
      <c r="M303" s="47" t="n">
        <v>0</v>
      </c>
      <c r="N303" s="46" t="n">
        <v>12500</v>
      </c>
      <c r="O303" s="46" t="n">
        <v>4165.7</v>
      </c>
    </row>
    <row r="304" customFormat="false" ht="15" hidden="false" customHeight="false" outlineLevel="0" collapsed="false">
      <c r="A304" s="44" t="n">
        <v>5109</v>
      </c>
      <c r="B304" s="45" t="n">
        <v>598</v>
      </c>
      <c r="C304" s="46" t="n">
        <v>342.4</v>
      </c>
      <c r="D304" s="46" t="n">
        <v>342.4</v>
      </c>
      <c r="E304" s="46" t="n">
        <v>173.9</v>
      </c>
      <c r="F304" s="46" t="n">
        <v>4922.5</v>
      </c>
      <c r="G304" s="45" t="n">
        <v>0</v>
      </c>
      <c r="H304" s="46" t="n">
        <v>173.9</v>
      </c>
      <c r="I304" s="46" t="n">
        <v>0</v>
      </c>
      <c r="J304" s="46" t="n">
        <v>0</v>
      </c>
      <c r="K304" s="46" t="n">
        <v>0</v>
      </c>
      <c r="L304" s="47" t="n">
        <v>0</v>
      </c>
      <c r="M304" s="47" t="n">
        <v>0</v>
      </c>
      <c r="N304" s="46" t="n">
        <v>12500</v>
      </c>
      <c r="O304" s="46" t="n">
        <v>4124.9</v>
      </c>
    </row>
    <row r="305" customFormat="false" ht="15" hidden="false" customHeight="false" outlineLevel="0" collapsed="false">
      <c r="A305" s="44" t="n">
        <v>5126</v>
      </c>
      <c r="B305" s="45" t="n">
        <v>600</v>
      </c>
      <c r="C305" s="46" t="n">
        <v>342.4</v>
      </c>
      <c r="D305" s="46" t="n">
        <v>342.4</v>
      </c>
      <c r="E305" s="46" t="n">
        <v>172.4</v>
      </c>
      <c r="F305" s="46" t="n">
        <v>4922.5</v>
      </c>
      <c r="G305" s="45" t="n">
        <v>0</v>
      </c>
      <c r="H305" s="46" t="n">
        <v>172.4</v>
      </c>
      <c r="I305" s="46" t="n">
        <v>0</v>
      </c>
      <c r="J305" s="46" t="n">
        <v>0</v>
      </c>
      <c r="K305" s="46" t="n">
        <v>0</v>
      </c>
      <c r="L305" s="47" t="n">
        <v>0</v>
      </c>
      <c r="M305" s="47" t="n">
        <v>0</v>
      </c>
      <c r="N305" s="46" t="n">
        <v>12500</v>
      </c>
      <c r="O305" s="46" t="n">
        <v>4084</v>
      </c>
    </row>
    <row r="306" customFormat="false" ht="15" hidden="false" customHeight="false" outlineLevel="0" collapsed="false">
      <c r="A306" s="44" t="n">
        <v>5144</v>
      </c>
      <c r="B306" s="45" t="n">
        <v>602</v>
      </c>
      <c r="C306" s="46" t="n">
        <v>342.4</v>
      </c>
      <c r="D306" s="46" t="n">
        <v>342.4</v>
      </c>
      <c r="E306" s="46" t="n">
        <v>170.9</v>
      </c>
      <c r="F306" s="46" t="n">
        <v>4922.5</v>
      </c>
      <c r="G306" s="45" t="n">
        <v>0</v>
      </c>
      <c r="H306" s="46" t="n">
        <v>170.9</v>
      </c>
      <c r="I306" s="46" t="n">
        <v>0</v>
      </c>
      <c r="J306" s="46" t="n">
        <v>0</v>
      </c>
      <c r="K306" s="46" t="n">
        <v>0</v>
      </c>
      <c r="L306" s="47" t="n">
        <v>0</v>
      </c>
      <c r="M306" s="47" t="n">
        <v>0</v>
      </c>
      <c r="N306" s="46" t="n">
        <v>12500</v>
      </c>
      <c r="O306" s="46" t="n">
        <v>4043.1</v>
      </c>
    </row>
    <row r="307" customFormat="false" ht="15" hidden="false" customHeight="false" outlineLevel="0" collapsed="false">
      <c r="A307" s="44" t="n">
        <v>5161</v>
      </c>
      <c r="B307" s="45" t="n">
        <v>604</v>
      </c>
      <c r="C307" s="46" t="n">
        <v>342.4</v>
      </c>
      <c r="D307" s="46" t="n">
        <v>342.4</v>
      </c>
      <c r="E307" s="46" t="n">
        <v>169.5</v>
      </c>
      <c r="F307" s="46" t="n">
        <v>4922.5</v>
      </c>
      <c r="G307" s="45" t="n">
        <v>0</v>
      </c>
      <c r="H307" s="46" t="n">
        <v>169.5</v>
      </c>
      <c r="I307" s="46" t="n">
        <v>0</v>
      </c>
      <c r="J307" s="46" t="n">
        <v>0</v>
      </c>
      <c r="K307" s="46" t="n">
        <v>0</v>
      </c>
      <c r="L307" s="47" t="n">
        <v>0</v>
      </c>
      <c r="M307" s="47" t="n">
        <v>0</v>
      </c>
      <c r="N307" s="46" t="n">
        <v>12500</v>
      </c>
      <c r="O307" s="46" t="n">
        <v>4002.2</v>
      </c>
    </row>
    <row r="308" customFormat="false" ht="15" hidden="false" customHeight="false" outlineLevel="0" collapsed="false">
      <c r="A308" s="44" t="n">
        <v>5178</v>
      </c>
      <c r="B308" s="45" t="n">
        <v>606</v>
      </c>
      <c r="C308" s="46" t="n">
        <v>342.4</v>
      </c>
      <c r="D308" s="46" t="n">
        <v>342.4</v>
      </c>
      <c r="E308" s="46" t="n">
        <v>168</v>
      </c>
      <c r="F308" s="46" t="n">
        <v>4922.5</v>
      </c>
      <c r="G308" s="45" t="n">
        <v>0</v>
      </c>
      <c r="H308" s="46" t="n">
        <v>168</v>
      </c>
      <c r="I308" s="46" t="n">
        <v>0</v>
      </c>
      <c r="J308" s="46" t="n">
        <v>0</v>
      </c>
      <c r="K308" s="46" t="n">
        <v>0</v>
      </c>
      <c r="L308" s="47" t="n">
        <v>0</v>
      </c>
      <c r="M308" s="47" t="n">
        <v>0</v>
      </c>
      <c r="N308" s="46" t="n">
        <v>12500</v>
      </c>
      <c r="O308" s="46" t="n">
        <v>3961.3</v>
      </c>
    </row>
    <row r="309" customFormat="false" ht="15" hidden="false" customHeight="false" outlineLevel="0" collapsed="false">
      <c r="A309" s="44" t="n">
        <v>5195</v>
      </c>
      <c r="B309" s="45" t="n">
        <v>608</v>
      </c>
      <c r="C309" s="46" t="n">
        <v>342.4</v>
      </c>
      <c r="D309" s="46" t="n">
        <v>342.4</v>
      </c>
      <c r="E309" s="46" t="n">
        <v>166.5</v>
      </c>
      <c r="F309" s="46" t="n">
        <v>4922.5</v>
      </c>
      <c r="G309" s="45" t="n">
        <v>0</v>
      </c>
      <c r="H309" s="46" t="n">
        <v>166.5</v>
      </c>
      <c r="I309" s="46" t="n">
        <v>0</v>
      </c>
      <c r="J309" s="46" t="n">
        <v>0</v>
      </c>
      <c r="K309" s="46" t="n">
        <v>0</v>
      </c>
      <c r="L309" s="47" t="n">
        <v>0</v>
      </c>
      <c r="M309" s="47" t="n">
        <v>0</v>
      </c>
      <c r="N309" s="46" t="n">
        <v>12500</v>
      </c>
      <c r="O309" s="46" t="n">
        <v>3920.5</v>
      </c>
    </row>
    <row r="310" customFormat="false" ht="15" hidden="false" customHeight="false" outlineLevel="0" collapsed="false">
      <c r="A310" s="44" t="n">
        <v>5212</v>
      </c>
      <c r="B310" s="45" t="n">
        <v>610</v>
      </c>
      <c r="C310" s="46" t="n">
        <v>342.4</v>
      </c>
      <c r="D310" s="46" t="n">
        <v>342.4</v>
      </c>
      <c r="E310" s="46" t="n">
        <v>165</v>
      </c>
      <c r="F310" s="46" t="n">
        <v>4922.5</v>
      </c>
      <c r="G310" s="45" t="n">
        <v>0</v>
      </c>
      <c r="H310" s="46" t="n">
        <v>165</v>
      </c>
      <c r="I310" s="46" t="n">
        <v>0</v>
      </c>
      <c r="J310" s="46" t="n">
        <v>0</v>
      </c>
      <c r="K310" s="46" t="n">
        <v>0</v>
      </c>
      <c r="L310" s="47" t="n">
        <v>0</v>
      </c>
      <c r="M310" s="47" t="n">
        <v>0</v>
      </c>
      <c r="N310" s="46" t="n">
        <v>12500</v>
      </c>
      <c r="O310" s="46" t="n">
        <v>3879.6</v>
      </c>
    </row>
    <row r="311" customFormat="false" ht="15" hidden="false" customHeight="false" outlineLevel="0" collapsed="false">
      <c r="A311" s="44" t="n">
        <v>5229</v>
      </c>
      <c r="B311" s="45" t="n">
        <v>612</v>
      </c>
      <c r="C311" s="46" t="n">
        <v>342.4</v>
      </c>
      <c r="D311" s="46" t="n">
        <v>342.4</v>
      </c>
      <c r="E311" s="46" t="n">
        <v>163.5</v>
      </c>
      <c r="F311" s="46" t="n">
        <v>4922.5</v>
      </c>
      <c r="G311" s="45" t="n">
        <v>0</v>
      </c>
      <c r="H311" s="46" t="n">
        <v>163.5</v>
      </c>
      <c r="I311" s="46" t="n">
        <v>0</v>
      </c>
      <c r="J311" s="46" t="n">
        <v>0</v>
      </c>
      <c r="K311" s="46" t="n">
        <v>0</v>
      </c>
      <c r="L311" s="47" t="n">
        <v>0</v>
      </c>
      <c r="M311" s="47" t="n">
        <v>0</v>
      </c>
      <c r="N311" s="46" t="n">
        <v>12500</v>
      </c>
      <c r="O311" s="46" t="n">
        <v>3838.7</v>
      </c>
    </row>
    <row r="312" customFormat="false" ht="15" hidden="false" customHeight="false" outlineLevel="0" collapsed="false">
      <c r="A312" s="44" t="n">
        <v>5246</v>
      </c>
      <c r="B312" s="45" t="n">
        <v>614</v>
      </c>
      <c r="C312" s="46" t="n">
        <v>342.4</v>
      </c>
      <c r="D312" s="46" t="n">
        <v>342.4</v>
      </c>
      <c r="E312" s="46" t="n">
        <v>162</v>
      </c>
      <c r="F312" s="46" t="n">
        <v>4922.5</v>
      </c>
      <c r="G312" s="45" t="n">
        <v>0</v>
      </c>
      <c r="H312" s="46" t="n">
        <v>162</v>
      </c>
      <c r="I312" s="46" t="n">
        <v>0</v>
      </c>
      <c r="J312" s="46" t="n">
        <v>0</v>
      </c>
      <c r="K312" s="46" t="n">
        <v>0</v>
      </c>
      <c r="L312" s="47" t="n">
        <v>0</v>
      </c>
      <c r="M312" s="47" t="n">
        <v>0</v>
      </c>
      <c r="N312" s="46" t="n">
        <v>12500</v>
      </c>
      <c r="O312" s="46" t="n">
        <v>3797.8</v>
      </c>
    </row>
    <row r="313" customFormat="false" ht="15" hidden="false" customHeight="false" outlineLevel="0" collapsed="false">
      <c r="A313" s="44" t="n">
        <v>5263</v>
      </c>
      <c r="B313" s="45" t="n">
        <v>616</v>
      </c>
      <c r="C313" s="46" t="n">
        <v>342.4</v>
      </c>
      <c r="D313" s="46" t="n">
        <v>342.4</v>
      </c>
      <c r="E313" s="46" t="n">
        <v>160.5</v>
      </c>
      <c r="F313" s="46" t="n">
        <v>4922.5</v>
      </c>
      <c r="G313" s="45" t="n">
        <v>0</v>
      </c>
      <c r="H313" s="46" t="n">
        <v>160.5</v>
      </c>
      <c r="I313" s="46" t="n">
        <v>0</v>
      </c>
      <c r="J313" s="46" t="n">
        <v>0</v>
      </c>
      <c r="K313" s="46" t="n">
        <v>0</v>
      </c>
      <c r="L313" s="47" t="n">
        <v>0</v>
      </c>
      <c r="M313" s="47" t="n">
        <v>0</v>
      </c>
      <c r="N313" s="46" t="n">
        <v>12500</v>
      </c>
      <c r="O313" s="46" t="n">
        <v>3756.9</v>
      </c>
    </row>
    <row r="314" customFormat="false" ht="15" hidden="false" customHeight="false" outlineLevel="0" collapsed="false">
      <c r="A314" s="44" t="n">
        <v>5280</v>
      </c>
      <c r="B314" s="45" t="n">
        <v>618</v>
      </c>
      <c r="C314" s="46" t="n">
        <v>342.4</v>
      </c>
      <c r="D314" s="46" t="n">
        <v>342.4</v>
      </c>
      <c r="E314" s="46" t="n">
        <v>159</v>
      </c>
      <c r="F314" s="46" t="n">
        <v>4922.5</v>
      </c>
      <c r="G314" s="45" t="n">
        <v>0</v>
      </c>
      <c r="H314" s="46" t="n">
        <v>159</v>
      </c>
      <c r="I314" s="46" t="n">
        <v>0</v>
      </c>
      <c r="J314" s="46" t="n">
        <v>0</v>
      </c>
      <c r="K314" s="46" t="n">
        <v>0</v>
      </c>
      <c r="L314" s="47" t="n">
        <v>0</v>
      </c>
      <c r="M314" s="47" t="n">
        <v>0</v>
      </c>
      <c r="N314" s="46" t="n">
        <v>12500</v>
      </c>
      <c r="O314" s="46" t="n">
        <v>3716</v>
      </c>
    </row>
    <row r="315" customFormat="false" ht="15" hidden="false" customHeight="false" outlineLevel="0" collapsed="false">
      <c r="A315" s="44" t="n">
        <v>5297</v>
      </c>
      <c r="B315" s="45" t="n">
        <v>620</v>
      </c>
      <c r="C315" s="46" t="n">
        <v>342.4</v>
      </c>
      <c r="D315" s="46" t="n">
        <v>342.4</v>
      </c>
      <c r="E315" s="46" t="n">
        <v>157.5</v>
      </c>
      <c r="F315" s="46" t="n">
        <v>4922.5</v>
      </c>
      <c r="G315" s="45" t="n">
        <v>0</v>
      </c>
      <c r="H315" s="46" t="n">
        <v>157.5</v>
      </c>
      <c r="I315" s="46" t="n">
        <v>0</v>
      </c>
      <c r="J315" s="46" t="n">
        <v>0</v>
      </c>
      <c r="K315" s="46" t="n">
        <v>0</v>
      </c>
      <c r="L315" s="47" t="n">
        <v>0</v>
      </c>
      <c r="M315" s="47" t="n">
        <v>0</v>
      </c>
      <c r="N315" s="46" t="n">
        <v>12500</v>
      </c>
      <c r="O315" s="46" t="n">
        <v>3675.2</v>
      </c>
    </row>
    <row r="316" customFormat="false" ht="15" hidden="false" customHeight="false" outlineLevel="0" collapsed="false">
      <c r="A316" s="44" t="n">
        <v>5314</v>
      </c>
      <c r="B316" s="45" t="n">
        <v>622</v>
      </c>
      <c r="C316" s="46" t="n">
        <v>342.4</v>
      </c>
      <c r="D316" s="46" t="n">
        <v>342.4</v>
      </c>
      <c r="E316" s="46" t="n">
        <v>156</v>
      </c>
      <c r="F316" s="46" t="n">
        <v>4922.5</v>
      </c>
      <c r="G316" s="45" t="n">
        <v>0</v>
      </c>
      <c r="H316" s="46" t="n">
        <v>156</v>
      </c>
      <c r="I316" s="46" t="n">
        <v>0</v>
      </c>
      <c r="J316" s="46" t="n">
        <v>0</v>
      </c>
      <c r="K316" s="46" t="n">
        <v>0</v>
      </c>
      <c r="L316" s="47" t="n">
        <v>0</v>
      </c>
      <c r="M316" s="47" t="n">
        <v>0</v>
      </c>
      <c r="N316" s="46" t="n">
        <v>12500</v>
      </c>
      <c r="O316" s="46" t="n">
        <v>3634.3</v>
      </c>
    </row>
    <row r="317" customFormat="false" ht="15" hidden="false" customHeight="false" outlineLevel="0" collapsed="false">
      <c r="A317" s="44" t="n">
        <v>5332</v>
      </c>
      <c r="B317" s="45" t="n">
        <v>624</v>
      </c>
      <c r="C317" s="46" t="n">
        <v>342.4</v>
      </c>
      <c r="D317" s="46" t="n">
        <v>342.4</v>
      </c>
      <c r="E317" s="46" t="n">
        <v>154.5</v>
      </c>
      <c r="F317" s="46" t="n">
        <v>4922.5</v>
      </c>
      <c r="G317" s="45" t="n">
        <v>0</v>
      </c>
      <c r="H317" s="46" t="n">
        <v>154.5</v>
      </c>
      <c r="I317" s="46" t="n">
        <v>0</v>
      </c>
      <c r="J317" s="46" t="n">
        <v>0</v>
      </c>
      <c r="K317" s="46" t="n">
        <v>0</v>
      </c>
      <c r="L317" s="47" t="n">
        <v>0</v>
      </c>
      <c r="M317" s="47" t="n">
        <v>0</v>
      </c>
      <c r="N317" s="46" t="n">
        <v>12500</v>
      </c>
      <c r="O317" s="46" t="n">
        <v>3593.4</v>
      </c>
    </row>
    <row r="318" customFormat="false" ht="15" hidden="false" customHeight="false" outlineLevel="0" collapsed="false">
      <c r="A318" s="44" t="n">
        <v>5349</v>
      </c>
      <c r="B318" s="45" t="n">
        <v>626</v>
      </c>
      <c r="C318" s="46" t="n">
        <v>342.4</v>
      </c>
      <c r="D318" s="46" t="n">
        <v>342.4</v>
      </c>
      <c r="E318" s="46" t="n">
        <v>153.1</v>
      </c>
      <c r="F318" s="46" t="n">
        <v>4922.5</v>
      </c>
      <c r="G318" s="45" t="n">
        <v>0</v>
      </c>
      <c r="H318" s="46" t="n">
        <v>153.1</v>
      </c>
      <c r="I318" s="46" t="n">
        <v>0</v>
      </c>
      <c r="J318" s="46" t="n">
        <v>0</v>
      </c>
      <c r="K318" s="46" t="n">
        <v>0</v>
      </c>
      <c r="L318" s="47" t="n">
        <v>0</v>
      </c>
      <c r="M318" s="47" t="n">
        <v>0</v>
      </c>
      <c r="N318" s="46" t="n">
        <v>12500</v>
      </c>
      <c r="O318" s="46" t="n">
        <v>3552.5</v>
      </c>
    </row>
    <row r="319" customFormat="false" ht="15" hidden="false" customHeight="false" outlineLevel="0" collapsed="false">
      <c r="A319" s="44" t="n">
        <v>5366</v>
      </c>
      <c r="B319" s="45" t="n">
        <v>628</v>
      </c>
      <c r="C319" s="46" t="n">
        <v>342.4</v>
      </c>
      <c r="D319" s="46" t="n">
        <v>342.4</v>
      </c>
      <c r="E319" s="46" t="n">
        <v>151.6</v>
      </c>
      <c r="F319" s="46" t="n">
        <v>4922.5</v>
      </c>
      <c r="G319" s="45" t="n">
        <v>0</v>
      </c>
      <c r="H319" s="46" t="n">
        <v>151.6</v>
      </c>
      <c r="I319" s="46" t="n">
        <v>0</v>
      </c>
      <c r="J319" s="46" t="n">
        <v>0</v>
      </c>
      <c r="K319" s="46" t="n">
        <v>0</v>
      </c>
      <c r="L319" s="47" t="n">
        <v>0</v>
      </c>
      <c r="M319" s="47" t="n">
        <v>0</v>
      </c>
      <c r="N319" s="46" t="n">
        <v>12500</v>
      </c>
      <c r="O319" s="46" t="n">
        <v>3511.6</v>
      </c>
    </row>
    <row r="320" customFormat="false" ht="15" hidden="false" customHeight="false" outlineLevel="0" collapsed="false">
      <c r="A320" s="44" t="n">
        <v>5383</v>
      </c>
      <c r="B320" s="45" t="n">
        <v>630</v>
      </c>
      <c r="C320" s="46" t="n">
        <v>342.4</v>
      </c>
      <c r="D320" s="46" t="n">
        <v>342.4</v>
      </c>
      <c r="E320" s="46" t="n">
        <v>150.1</v>
      </c>
      <c r="F320" s="46" t="n">
        <v>4922.5</v>
      </c>
      <c r="G320" s="45" t="n">
        <v>0</v>
      </c>
      <c r="H320" s="46" t="n">
        <v>150.1</v>
      </c>
      <c r="I320" s="46" t="n">
        <v>0</v>
      </c>
      <c r="J320" s="46" t="n">
        <v>0</v>
      </c>
      <c r="K320" s="46" t="n">
        <v>0</v>
      </c>
      <c r="L320" s="47" t="n">
        <v>0</v>
      </c>
      <c r="M320" s="47" t="n">
        <v>0</v>
      </c>
      <c r="N320" s="46" t="n">
        <v>12500</v>
      </c>
      <c r="O320" s="46" t="n">
        <v>3470.8</v>
      </c>
    </row>
    <row r="321" customFormat="false" ht="15" hidden="false" customHeight="false" outlineLevel="0" collapsed="false">
      <c r="A321" s="44" t="n">
        <v>5400</v>
      </c>
      <c r="B321" s="45" t="n">
        <v>632</v>
      </c>
      <c r="C321" s="46" t="n">
        <v>342.4</v>
      </c>
      <c r="D321" s="46" t="n">
        <v>342.4</v>
      </c>
      <c r="E321" s="46" t="n">
        <v>148.6</v>
      </c>
      <c r="F321" s="46" t="n">
        <v>4922.5</v>
      </c>
      <c r="G321" s="45" t="n">
        <v>0</v>
      </c>
      <c r="H321" s="46" t="n">
        <v>148.6</v>
      </c>
      <c r="I321" s="46" t="n">
        <v>0</v>
      </c>
      <c r="J321" s="46" t="n">
        <v>0</v>
      </c>
      <c r="K321" s="46" t="n">
        <v>0</v>
      </c>
      <c r="L321" s="47" t="n">
        <v>0</v>
      </c>
      <c r="M321" s="47" t="n">
        <v>0</v>
      </c>
      <c r="N321" s="46" t="n">
        <v>12500</v>
      </c>
      <c r="O321" s="46" t="n">
        <v>3429.9</v>
      </c>
    </row>
    <row r="322" customFormat="false" ht="15" hidden="false" customHeight="false" outlineLevel="0" collapsed="false">
      <c r="A322" s="44" t="n">
        <v>5417</v>
      </c>
      <c r="B322" s="45" t="n">
        <v>634</v>
      </c>
      <c r="C322" s="46" t="n">
        <v>342.4</v>
      </c>
      <c r="D322" s="46" t="n">
        <v>342.4</v>
      </c>
      <c r="E322" s="46" t="n">
        <v>147.1</v>
      </c>
      <c r="F322" s="46" t="n">
        <v>4922.5</v>
      </c>
      <c r="G322" s="45" t="n">
        <v>0</v>
      </c>
      <c r="H322" s="46" t="n">
        <v>147.1</v>
      </c>
      <c r="I322" s="46" t="n">
        <v>0</v>
      </c>
      <c r="J322" s="46" t="n">
        <v>0</v>
      </c>
      <c r="K322" s="46" t="n">
        <v>0</v>
      </c>
      <c r="L322" s="47" t="n">
        <v>0</v>
      </c>
      <c r="M322" s="47" t="n">
        <v>0</v>
      </c>
      <c r="N322" s="46" t="n">
        <v>12500</v>
      </c>
      <c r="O322" s="46" t="n">
        <v>3389</v>
      </c>
    </row>
    <row r="323" customFormat="false" ht="15" hidden="false" customHeight="false" outlineLevel="0" collapsed="false">
      <c r="A323" s="44" t="n">
        <v>5434</v>
      </c>
      <c r="B323" s="45" t="n">
        <v>636</v>
      </c>
      <c r="C323" s="46" t="n">
        <v>342.4</v>
      </c>
      <c r="D323" s="46" t="n">
        <v>342.4</v>
      </c>
      <c r="E323" s="46" t="n">
        <v>145.6</v>
      </c>
      <c r="F323" s="46" t="n">
        <v>4922.5</v>
      </c>
      <c r="G323" s="45" t="n">
        <v>0</v>
      </c>
      <c r="H323" s="46" t="n">
        <v>145.6</v>
      </c>
      <c r="I323" s="46" t="n">
        <v>0</v>
      </c>
      <c r="J323" s="46" t="n">
        <v>0</v>
      </c>
      <c r="K323" s="46" t="n">
        <v>0</v>
      </c>
      <c r="L323" s="47" t="n">
        <v>0</v>
      </c>
      <c r="M323" s="47" t="n">
        <v>0</v>
      </c>
      <c r="N323" s="46" t="n">
        <v>12500</v>
      </c>
      <c r="O323" s="46" t="n">
        <v>3348.1</v>
      </c>
    </row>
    <row r="324" customFormat="false" ht="15" hidden="false" customHeight="false" outlineLevel="0" collapsed="false">
      <c r="A324" s="44" t="n">
        <v>5451</v>
      </c>
      <c r="B324" s="45" t="n">
        <v>638</v>
      </c>
      <c r="C324" s="46" t="n">
        <v>342.4</v>
      </c>
      <c r="D324" s="46" t="n">
        <v>342.4</v>
      </c>
      <c r="E324" s="46" t="n">
        <v>144.1</v>
      </c>
      <c r="F324" s="46" t="n">
        <v>4922.5</v>
      </c>
      <c r="G324" s="45" t="n">
        <v>0</v>
      </c>
      <c r="H324" s="46" t="n">
        <v>144.1</v>
      </c>
      <c r="I324" s="46" t="n">
        <v>0</v>
      </c>
      <c r="J324" s="46" t="n">
        <v>0</v>
      </c>
      <c r="K324" s="46" t="n">
        <v>0</v>
      </c>
      <c r="L324" s="47" t="n">
        <v>0</v>
      </c>
      <c r="M324" s="47" t="n">
        <v>0</v>
      </c>
      <c r="N324" s="46" t="n">
        <v>12500</v>
      </c>
      <c r="O324" s="46" t="n">
        <v>3307.2</v>
      </c>
    </row>
    <row r="325" customFormat="false" ht="15" hidden="false" customHeight="false" outlineLevel="0" collapsed="false">
      <c r="A325" s="44" t="n">
        <v>5468</v>
      </c>
      <c r="B325" s="45" t="n">
        <v>640</v>
      </c>
      <c r="C325" s="46" t="n">
        <v>342.4</v>
      </c>
      <c r="D325" s="46" t="n">
        <v>342.4</v>
      </c>
      <c r="E325" s="46" t="n">
        <v>142.5</v>
      </c>
      <c r="F325" s="46" t="n">
        <v>4922.5</v>
      </c>
      <c r="G325" s="45" t="n">
        <v>0</v>
      </c>
      <c r="H325" s="46" t="n">
        <v>142.5</v>
      </c>
      <c r="I325" s="46" t="n">
        <v>0</v>
      </c>
      <c r="J325" s="46" t="n">
        <v>0</v>
      </c>
      <c r="K325" s="46" t="n">
        <v>0</v>
      </c>
      <c r="L325" s="47" t="n">
        <v>0</v>
      </c>
      <c r="M325" s="47" t="n">
        <v>0</v>
      </c>
      <c r="N325" s="46" t="n">
        <v>12500</v>
      </c>
      <c r="O325" s="46" t="n">
        <v>3266.3</v>
      </c>
    </row>
    <row r="326" customFormat="false" ht="15" hidden="false" customHeight="false" outlineLevel="0" collapsed="false">
      <c r="A326" s="44" t="n">
        <v>5485</v>
      </c>
      <c r="B326" s="45" t="n">
        <v>642</v>
      </c>
      <c r="C326" s="46" t="n">
        <v>342.4</v>
      </c>
      <c r="D326" s="46" t="n">
        <v>342.4</v>
      </c>
      <c r="E326" s="46" t="n">
        <v>141</v>
      </c>
      <c r="F326" s="46" t="n">
        <v>4922.5</v>
      </c>
      <c r="G326" s="45" t="n">
        <v>0</v>
      </c>
      <c r="H326" s="46" t="n">
        <v>141</v>
      </c>
      <c r="I326" s="46" t="n">
        <v>0</v>
      </c>
      <c r="J326" s="46" t="n">
        <v>0</v>
      </c>
      <c r="K326" s="46" t="n">
        <v>0</v>
      </c>
      <c r="L326" s="47" t="n">
        <v>0</v>
      </c>
      <c r="M326" s="47" t="n">
        <v>0</v>
      </c>
      <c r="N326" s="46" t="n">
        <v>12500</v>
      </c>
      <c r="O326" s="46" t="n">
        <v>3225.5</v>
      </c>
    </row>
    <row r="327" customFormat="false" ht="15" hidden="false" customHeight="false" outlineLevel="0" collapsed="false">
      <c r="A327" s="44" t="n">
        <v>5502</v>
      </c>
      <c r="B327" s="45" t="n">
        <v>644</v>
      </c>
      <c r="C327" s="46" t="n">
        <v>342.4</v>
      </c>
      <c r="D327" s="46" t="n">
        <v>342.4</v>
      </c>
      <c r="E327" s="46" t="n">
        <v>139.4</v>
      </c>
      <c r="F327" s="46" t="n">
        <v>4922.5</v>
      </c>
      <c r="G327" s="45" t="n">
        <v>0</v>
      </c>
      <c r="H327" s="46" t="n">
        <v>139.4</v>
      </c>
      <c r="I327" s="46" t="n">
        <v>0</v>
      </c>
      <c r="J327" s="46" t="n">
        <v>0</v>
      </c>
      <c r="K327" s="46" t="n">
        <v>0</v>
      </c>
      <c r="L327" s="47" t="n">
        <v>0</v>
      </c>
      <c r="M327" s="47" t="n">
        <v>0</v>
      </c>
      <c r="N327" s="46" t="n">
        <v>12500</v>
      </c>
      <c r="O327" s="46" t="n">
        <v>3184.6</v>
      </c>
    </row>
    <row r="328" customFormat="false" ht="15" hidden="false" customHeight="false" outlineLevel="0" collapsed="false">
      <c r="A328" s="44" t="n">
        <v>5519</v>
      </c>
      <c r="B328" s="45" t="n">
        <v>646</v>
      </c>
      <c r="C328" s="46" t="n">
        <v>342.4</v>
      </c>
      <c r="D328" s="46" t="n">
        <v>342.4</v>
      </c>
      <c r="E328" s="46" t="n">
        <v>137.8</v>
      </c>
      <c r="F328" s="46" t="n">
        <v>4922.5</v>
      </c>
      <c r="G328" s="45" t="n">
        <v>0</v>
      </c>
      <c r="H328" s="46" t="n">
        <v>137.8</v>
      </c>
      <c r="I328" s="46" t="n">
        <v>0</v>
      </c>
      <c r="J328" s="46" t="n">
        <v>0</v>
      </c>
      <c r="K328" s="46" t="n">
        <v>0</v>
      </c>
      <c r="L328" s="47" t="n">
        <v>0</v>
      </c>
      <c r="M328" s="47" t="n">
        <v>0</v>
      </c>
      <c r="N328" s="46" t="n">
        <v>12500</v>
      </c>
      <c r="O328" s="46" t="n">
        <v>3143.7</v>
      </c>
    </row>
    <row r="329" customFormat="false" ht="15" hidden="false" customHeight="false" outlineLevel="0" collapsed="false">
      <c r="A329" s="44" t="n">
        <v>5537</v>
      </c>
      <c r="B329" s="45" t="n">
        <v>648</v>
      </c>
      <c r="C329" s="46" t="n">
        <v>342.4</v>
      </c>
      <c r="D329" s="46" t="n">
        <v>342.4</v>
      </c>
      <c r="E329" s="46" t="n">
        <v>136.2</v>
      </c>
      <c r="F329" s="46" t="n">
        <v>4922.5</v>
      </c>
      <c r="G329" s="45" t="n">
        <v>0</v>
      </c>
      <c r="H329" s="46" t="n">
        <v>136.2</v>
      </c>
      <c r="I329" s="46" t="n">
        <v>0</v>
      </c>
      <c r="J329" s="46" t="n">
        <v>0</v>
      </c>
      <c r="K329" s="46" t="n">
        <v>0</v>
      </c>
      <c r="L329" s="47" t="n">
        <v>0</v>
      </c>
      <c r="M329" s="47" t="n">
        <v>0</v>
      </c>
      <c r="N329" s="46" t="n">
        <v>12500</v>
      </c>
      <c r="O329" s="46" t="n">
        <v>3102.8</v>
      </c>
    </row>
    <row r="330" customFormat="false" ht="15" hidden="false" customHeight="false" outlineLevel="0" collapsed="false">
      <c r="A330" s="44" t="n">
        <v>5554</v>
      </c>
      <c r="B330" s="45" t="n">
        <v>650</v>
      </c>
      <c r="C330" s="46" t="n">
        <v>342.4</v>
      </c>
      <c r="D330" s="46" t="n">
        <v>342.4</v>
      </c>
      <c r="E330" s="46" t="n">
        <v>134.6</v>
      </c>
      <c r="F330" s="46" t="n">
        <v>4922.5</v>
      </c>
      <c r="G330" s="45" t="n">
        <v>0</v>
      </c>
      <c r="H330" s="46" t="n">
        <v>134.6</v>
      </c>
      <c r="I330" s="46" t="n">
        <v>0</v>
      </c>
      <c r="J330" s="46" t="n">
        <v>0</v>
      </c>
      <c r="K330" s="46" t="n">
        <v>0</v>
      </c>
      <c r="L330" s="47" t="n">
        <v>0</v>
      </c>
      <c r="M330" s="47" t="n">
        <v>0</v>
      </c>
      <c r="N330" s="46" t="n">
        <v>12500</v>
      </c>
      <c r="O330" s="46" t="n">
        <v>3061.9</v>
      </c>
    </row>
    <row r="331" customFormat="false" ht="15" hidden="false" customHeight="false" outlineLevel="0" collapsed="false">
      <c r="A331" s="44" t="n">
        <v>5571</v>
      </c>
      <c r="B331" s="45" t="n">
        <v>652</v>
      </c>
      <c r="C331" s="46" t="n">
        <v>342.4</v>
      </c>
      <c r="D331" s="46" t="n">
        <v>342.4</v>
      </c>
      <c r="E331" s="46" t="n">
        <v>132.9</v>
      </c>
      <c r="F331" s="46" t="n">
        <v>4922.5</v>
      </c>
      <c r="G331" s="45" t="n">
        <v>0</v>
      </c>
      <c r="H331" s="46" t="n">
        <v>132.9</v>
      </c>
      <c r="I331" s="46" t="n">
        <v>0</v>
      </c>
      <c r="J331" s="46" t="n">
        <v>0</v>
      </c>
      <c r="K331" s="46" t="n">
        <v>0</v>
      </c>
      <c r="L331" s="47" t="n">
        <v>0</v>
      </c>
      <c r="M331" s="47" t="n">
        <v>0</v>
      </c>
      <c r="N331" s="46" t="n">
        <v>12500</v>
      </c>
      <c r="O331" s="46" t="n">
        <v>3021.1</v>
      </c>
    </row>
    <row r="332" customFormat="false" ht="15" hidden="false" customHeight="false" outlineLevel="0" collapsed="false">
      <c r="A332" s="44" t="n">
        <v>5588</v>
      </c>
      <c r="B332" s="45" t="n">
        <v>654</v>
      </c>
      <c r="C332" s="46" t="n">
        <v>342.4</v>
      </c>
      <c r="D332" s="46" t="n">
        <v>342.4</v>
      </c>
      <c r="E332" s="46" t="n">
        <v>131.3</v>
      </c>
      <c r="F332" s="46" t="n">
        <v>4922.5</v>
      </c>
      <c r="G332" s="45" t="n">
        <v>0</v>
      </c>
      <c r="H332" s="46" t="n">
        <v>131.3</v>
      </c>
      <c r="I332" s="46" t="n">
        <v>0</v>
      </c>
      <c r="J332" s="46" t="n">
        <v>0</v>
      </c>
      <c r="K332" s="46" t="n">
        <v>0</v>
      </c>
      <c r="L332" s="47" t="n">
        <v>0</v>
      </c>
      <c r="M332" s="47" t="n">
        <v>0</v>
      </c>
      <c r="N332" s="46" t="n">
        <v>12500</v>
      </c>
      <c r="O332" s="46" t="n">
        <v>2980.2</v>
      </c>
    </row>
    <row r="333" customFormat="false" ht="15" hidden="false" customHeight="false" outlineLevel="0" collapsed="false">
      <c r="A333" s="44" t="n">
        <v>5605</v>
      </c>
      <c r="B333" s="45" t="n">
        <v>656</v>
      </c>
      <c r="C333" s="46" t="n">
        <v>342.4</v>
      </c>
      <c r="D333" s="46" t="n">
        <v>342.4</v>
      </c>
      <c r="E333" s="46" t="n">
        <v>129.6</v>
      </c>
      <c r="F333" s="46" t="n">
        <v>4922.5</v>
      </c>
      <c r="G333" s="45" t="n">
        <v>0</v>
      </c>
      <c r="H333" s="46" t="n">
        <v>129.6</v>
      </c>
      <c r="I333" s="46" t="n">
        <v>0</v>
      </c>
      <c r="J333" s="46" t="n">
        <v>0</v>
      </c>
      <c r="K333" s="46" t="n">
        <v>0</v>
      </c>
      <c r="L333" s="47" t="n">
        <v>0</v>
      </c>
      <c r="M333" s="47" t="n">
        <v>0</v>
      </c>
      <c r="N333" s="46" t="n">
        <v>12500</v>
      </c>
      <c r="O333" s="46" t="n">
        <v>2939.3</v>
      </c>
    </row>
    <row r="334" customFormat="false" ht="15" hidden="false" customHeight="false" outlineLevel="0" collapsed="false">
      <c r="A334" s="44" t="n">
        <v>5622</v>
      </c>
      <c r="B334" s="45" t="n">
        <v>658</v>
      </c>
      <c r="C334" s="46" t="n">
        <v>342.4</v>
      </c>
      <c r="D334" s="46" t="n">
        <v>342.4</v>
      </c>
      <c r="E334" s="46" t="n">
        <v>128</v>
      </c>
      <c r="F334" s="46" t="n">
        <v>4922.5</v>
      </c>
      <c r="G334" s="45" t="n">
        <v>0</v>
      </c>
      <c r="H334" s="46" t="n">
        <v>128</v>
      </c>
      <c r="I334" s="46" t="n">
        <v>0</v>
      </c>
      <c r="J334" s="46" t="n">
        <v>0</v>
      </c>
      <c r="K334" s="46" t="n">
        <v>0</v>
      </c>
      <c r="L334" s="47" t="n">
        <v>0</v>
      </c>
      <c r="M334" s="47" t="n">
        <v>0</v>
      </c>
      <c r="N334" s="46" t="n">
        <v>12500</v>
      </c>
      <c r="O334" s="46" t="n">
        <v>2898.4</v>
      </c>
    </row>
    <row r="335" customFormat="false" ht="15" hidden="false" customHeight="false" outlineLevel="0" collapsed="false">
      <c r="A335" s="44" t="n">
        <v>5639</v>
      </c>
      <c r="B335" s="45" t="n">
        <v>660</v>
      </c>
      <c r="C335" s="46" t="n">
        <v>342.4</v>
      </c>
      <c r="D335" s="46" t="n">
        <v>342.4</v>
      </c>
      <c r="E335" s="46" t="n">
        <v>126.3</v>
      </c>
      <c r="F335" s="46" t="n">
        <v>4922.5</v>
      </c>
      <c r="G335" s="45" t="n">
        <v>0</v>
      </c>
      <c r="H335" s="46" t="n">
        <v>126.3</v>
      </c>
      <c r="I335" s="46" t="n">
        <v>0</v>
      </c>
      <c r="J335" s="46" t="n">
        <v>0</v>
      </c>
      <c r="K335" s="46" t="n">
        <v>0</v>
      </c>
      <c r="L335" s="47" t="n">
        <v>0</v>
      </c>
      <c r="M335" s="47" t="n">
        <v>0</v>
      </c>
      <c r="N335" s="46" t="n">
        <v>12500</v>
      </c>
      <c r="O335" s="46" t="n">
        <v>2857.5</v>
      </c>
    </row>
    <row r="336" customFormat="false" ht="15" hidden="false" customHeight="false" outlineLevel="0" collapsed="false">
      <c r="A336" s="44" t="n">
        <v>5656</v>
      </c>
      <c r="B336" s="45" t="n">
        <v>662</v>
      </c>
      <c r="C336" s="46" t="n">
        <v>342.4</v>
      </c>
      <c r="D336" s="46" t="n">
        <v>342.4</v>
      </c>
      <c r="E336" s="46" t="n">
        <v>124.6</v>
      </c>
      <c r="F336" s="46" t="n">
        <v>4922.5</v>
      </c>
      <c r="G336" s="45" t="n">
        <v>0</v>
      </c>
      <c r="H336" s="46" t="n">
        <v>124.6</v>
      </c>
      <c r="I336" s="46" t="n">
        <v>0</v>
      </c>
      <c r="J336" s="46" t="n">
        <v>0</v>
      </c>
      <c r="K336" s="46" t="n">
        <v>0</v>
      </c>
      <c r="L336" s="47" t="n">
        <v>0</v>
      </c>
      <c r="M336" s="47" t="n">
        <v>0</v>
      </c>
      <c r="N336" s="46" t="n">
        <v>12500</v>
      </c>
      <c r="O336" s="46" t="n">
        <v>2816.6</v>
      </c>
    </row>
    <row r="337" customFormat="false" ht="15" hidden="false" customHeight="false" outlineLevel="0" collapsed="false">
      <c r="A337" s="44" t="n">
        <v>5673</v>
      </c>
      <c r="B337" s="45" t="n">
        <v>664</v>
      </c>
      <c r="C337" s="46" t="n">
        <v>342.4</v>
      </c>
      <c r="D337" s="46" t="n">
        <v>342.4</v>
      </c>
      <c r="E337" s="46" t="n">
        <v>122.9</v>
      </c>
      <c r="F337" s="46" t="n">
        <v>4922.5</v>
      </c>
      <c r="G337" s="45" t="n">
        <v>0</v>
      </c>
      <c r="H337" s="46" t="n">
        <v>122.9</v>
      </c>
      <c r="I337" s="46" t="n">
        <v>0</v>
      </c>
      <c r="J337" s="46" t="n">
        <v>0</v>
      </c>
      <c r="K337" s="46" t="n">
        <v>0</v>
      </c>
      <c r="L337" s="47" t="n">
        <v>0</v>
      </c>
      <c r="M337" s="47" t="n">
        <v>0</v>
      </c>
      <c r="N337" s="46" t="n">
        <v>12500</v>
      </c>
      <c r="O337" s="46" t="n">
        <v>2775.8</v>
      </c>
    </row>
    <row r="338" customFormat="false" ht="15" hidden="false" customHeight="false" outlineLevel="0" collapsed="false">
      <c r="A338" s="44" t="n">
        <v>5690</v>
      </c>
      <c r="B338" s="45" t="n">
        <v>666</v>
      </c>
      <c r="C338" s="46" t="n">
        <v>342.4</v>
      </c>
      <c r="D338" s="46" t="n">
        <v>342.4</v>
      </c>
      <c r="E338" s="46" t="n">
        <v>121.1</v>
      </c>
      <c r="F338" s="46" t="n">
        <v>4922.5</v>
      </c>
      <c r="G338" s="45" t="n">
        <v>0</v>
      </c>
      <c r="H338" s="46" t="n">
        <v>121.1</v>
      </c>
      <c r="I338" s="46" t="n">
        <v>0</v>
      </c>
      <c r="J338" s="46" t="n">
        <v>0</v>
      </c>
      <c r="K338" s="46" t="n">
        <v>0</v>
      </c>
      <c r="L338" s="47" t="n">
        <v>0</v>
      </c>
      <c r="M338" s="47" t="n">
        <v>0</v>
      </c>
      <c r="N338" s="46" t="n">
        <v>12500</v>
      </c>
      <c r="O338" s="46" t="n">
        <v>2734.9</v>
      </c>
    </row>
    <row r="339" customFormat="false" ht="15" hidden="false" customHeight="false" outlineLevel="0" collapsed="false">
      <c r="A339" s="44" t="n">
        <v>5707</v>
      </c>
      <c r="B339" s="45" t="n">
        <v>668</v>
      </c>
      <c r="C339" s="46" t="n">
        <v>342.4</v>
      </c>
      <c r="D339" s="46" t="n">
        <v>342.4</v>
      </c>
      <c r="E339" s="46" t="n">
        <v>119.4</v>
      </c>
      <c r="F339" s="46" t="n">
        <v>4922.5</v>
      </c>
      <c r="G339" s="45" t="n">
        <v>0</v>
      </c>
      <c r="H339" s="46" t="n">
        <v>119.4</v>
      </c>
      <c r="I339" s="46" t="n">
        <v>0</v>
      </c>
      <c r="J339" s="46" t="n">
        <v>0</v>
      </c>
      <c r="K339" s="46" t="n">
        <v>0</v>
      </c>
      <c r="L339" s="47" t="n">
        <v>0</v>
      </c>
      <c r="M339" s="47" t="n">
        <v>0</v>
      </c>
      <c r="N339" s="46" t="n">
        <v>12500</v>
      </c>
      <c r="O339" s="46" t="n">
        <v>2694</v>
      </c>
    </row>
    <row r="340" customFormat="false" ht="15" hidden="false" customHeight="false" outlineLevel="0" collapsed="false">
      <c r="A340" s="44" t="n">
        <v>5725</v>
      </c>
      <c r="B340" s="45" t="n">
        <v>670</v>
      </c>
      <c r="C340" s="46" t="n">
        <v>342.4</v>
      </c>
      <c r="D340" s="46" t="n">
        <v>342.4</v>
      </c>
      <c r="E340" s="46" t="n">
        <v>117.7</v>
      </c>
      <c r="F340" s="46" t="n">
        <v>4922.5</v>
      </c>
      <c r="G340" s="45" t="n">
        <v>0</v>
      </c>
      <c r="H340" s="46" t="n">
        <v>117.7</v>
      </c>
      <c r="I340" s="46" t="n">
        <v>0</v>
      </c>
      <c r="J340" s="46" t="n">
        <v>0</v>
      </c>
      <c r="K340" s="46" t="n">
        <v>0</v>
      </c>
      <c r="L340" s="47" t="n">
        <v>0</v>
      </c>
      <c r="M340" s="47" t="n">
        <v>0</v>
      </c>
      <c r="N340" s="46" t="n">
        <v>12500</v>
      </c>
      <c r="O340" s="46" t="n">
        <v>2653.1</v>
      </c>
    </row>
    <row r="341" customFormat="false" ht="15" hidden="false" customHeight="false" outlineLevel="0" collapsed="false">
      <c r="A341" s="44" t="n">
        <v>5742</v>
      </c>
      <c r="B341" s="45" t="n">
        <v>672</v>
      </c>
      <c r="C341" s="46" t="n">
        <v>342.4</v>
      </c>
      <c r="D341" s="46" t="n">
        <v>342.4</v>
      </c>
      <c r="E341" s="46" t="n">
        <v>115.9</v>
      </c>
      <c r="F341" s="46" t="n">
        <v>4922.5</v>
      </c>
      <c r="G341" s="45" t="n">
        <v>0</v>
      </c>
      <c r="H341" s="46" t="n">
        <v>115.9</v>
      </c>
      <c r="I341" s="46" t="n">
        <v>0</v>
      </c>
      <c r="J341" s="46" t="n">
        <v>0</v>
      </c>
      <c r="K341" s="46" t="n">
        <v>0</v>
      </c>
      <c r="L341" s="47" t="n">
        <v>0</v>
      </c>
      <c r="M341" s="47" t="n">
        <v>0</v>
      </c>
      <c r="N341" s="46" t="n">
        <v>12500</v>
      </c>
      <c r="O341" s="46" t="n">
        <v>2612.2</v>
      </c>
    </row>
    <row r="342" customFormat="false" ht="15" hidden="false" customHeight="false" outlineLevel="0" collapsed="false">
      <c r="A342" s="44" t="n">
        <v>5759</v>
      </c>
      <c r="B342" s="45" t="n">
        <v>674</v>
      </c>
      <c r="C342" s="46" t="n">
        <v>342.4</v>
      </c>
      <c r="D342" s="46" t="n">
        <v>342.4</v>
      </c>
      <c r="E342" s="46" t="n">
        <v>114.2</v>
      </c>
      <c r="F342" s="46" t="n">
        <v>4922.5</v>
      </c>
      <c r="G342" s="45" t="n">
        <v>0</v>
      </c>
      <c r="H342" s="46" t="n">
        <v>114.2</v>
      </c>
      <c r="I342" s="46" t="n">
        <v>0</v>
      </c>
      <c r="J342" s="46" t="n">
        <v>0</v>
      </c>
      <c r="K342" s="46" t="n">
        <v>0</v>
      </c>
      <c r="L342" s="47" t="n">
        <v>0</v>
      </c>
      <c r="M342" s="47" t="n">
        <v>0</v>
      </c>
      <c r="N342" s="46" t="n">
        <v>12500</v>
      </c>
      <c r="O342" s="46" t="n">
        <v>2571.4</v>
      </c>
    </row>
    <row r="343" customFormat="false" ht="15" hidden="false" customHeight="false" outlineLevel="0" collapsed="false">
      <c r="A343" s="44" t="n">
        <v>5776</v>
      </c>
      <c r="B343" s="45" t="n">
        <v>676</v>
      </c>
      <c r="C343" s="46" t="n">
        <v>342.4</v>
      </c>
      <c r="D343" s="46" t="n">
        <v>342.4</v>
      </c>
      <c r="E343" s="46" t="n">
        <v>112.4</v>
      </c>
      <c r="F343" s="46" t="n">
        <v>4922.5</v>
      </c>
      <c r="G343" s="45" t="n">
        <v>0</v>
      </c>
      <c r="H343" s="46" t="n">
        <v>112.4</v>
      </c>
      <c r="I343" s="46" t="n">
        <v>0</v>
      </c>
      <c r="J343" s="46" t="n">
        <v>0</v>
      </c>
      <c r="K343" s="46" t="n">
        <v>0</v>
      </c>
      <c r="L343" s="47" t="n">
        <v>0</v>
      </c>
      <c r="M343" s="47" t="n">
        <v>0</v>
      </c>
      <c r="N343" s="46" t="n">
        <v>12500</v>
      </c>
      <c r="O343" s="46" t="n">
        <v>2530.5</v>
      </c>
    </row>
    <row r="344" customFormat="false" ht="15" hidden="false" customHeight="false" outlineLevel="0" collapsed="false">
      <c r="A344" s="44" t="n">
        <v>5793</v>
      </c>
      <c r="B344" s="45" t="n">
        <v>678</v>
      </c>
      <c r="C344" s="46" t="n">
        <v>342.4</v>
      </c>
      <c r="D344" s="46" t="n">
        <v>342.4</v>
      </c>
      <c r="E344" s="46" t="n">
        <v>110.6</v>
      </c>
      <c r="F344" s="46" t="n">
        <v>4922.5</v>
      </c>
      <c r="G344" s="45" t="n">
        <v>0</v>
      </c>
      <c r="H344" s="46" t="n">
        <v>110.6</v>
      </c>
      <c r="I344" s="46" t="n">
        <v>0</v>
      </c>
      <c r="J344" s="46" t="n">
        <v>0</v>
      </c>
      <c r="K344" s="46" t="n">
        <v>0</v>
      </c>
      <c r="L344" s="47" t="n">
        <v>0</v>
      </c>
      <c r="M344" s="47" t="n">
        <v>0</v>
      </c>
      <c r="N344" s="46" t="n">
        <v>12500</v>
      </c>
      <c r="O344" s="46" t="n">
        <v>2489.6</v>
      </c>
    </row>
    <row r="345" customFormat="false" ht="15" hidden="false" customHeight="false" outlineLevel="0" collapsed="false">
      <c r="A345" s="44" t="n">
        <v>5810</v>
      </c>
      <c r="B345" s="45" t="n">
        <v>680</v>
      </c>
      <c r="C345" s="46" t="n">
        <v>342.4</v>
      </c>
      <c r="D345" s="46" t="n">
        <v>342.4</v>
      </c>
      <c r="E345" s="46" t="n">
        <v>108.8</v>
      </c>
      <c r="F345" s="46" t="n">
        <v>4922.5</v>
      </c>
      <c r="G345" s="45" t="n">
        <v>0</v>
      </c>
      <c r="H345" s="46" t="n">
        <v>108.8</v>
      </c>
      <c r="I345" s="46" t="n">
        <v>0</v>
      </c>
      <c r="J345" s="46" t="n">
        <v>0</v>
      </c>
      <c r="K345" s="46" t="n">
        <v>0</v>
      </c>
      <c r="L345" s="47" t="n">
        <v>0</v>
      </c>
      <c r="M345" s="47" t="n">
        <v>0</v>
      </c>
      <c r="N345" s="46" t="n">
        <v>12500</v>
      </c>
      <c r="O345" s="46" t="n">
        <v>2448.7</v>
      </c>
    </row>
    <row r="346" customFormat="false" ht="15" hidden="false" customHeight="false" outlineLevel="0" collapsed="false">
      <c r="A346" s="44" t="n">
        <v>5827</v>
      </c>
      <c r="B346" s="45" t="n">
        <v>682</v>
      </c>
      <c r="C346" s="46" t="n">
        <v>342.4</v>
      </c>
      <c r="D346" s="46" t="n">
        <v>342.4</v>
      </c>
      <c r="E346" s="46" t="n">
        <v>107.1</v>
      </c>
      <c r="F346" s="46" t="n">
        <v>4922.5</v>
      </c>
      <c r="G346" s="45" t="n">
        <v>0</v>
      </c>
      <c r="H346" s="46" t="n">
        <v>107.1</v>
      </c>
      <c r="I346" s="46" t="n">
        <v>0</v>
      </c>
      <c r="J346" s="46" t="n">
        <v>0</v>
      </c>
      <c r="K346" s="46" t="n">
        <v>0</v>
      </c>
      <c r="L346" s="47" t="n">
        <v>0</v>
      </c>
      <c r="M346" s="47" t="n">
        <v>0</v>
      </c>
      <c r="N346" s="46" t="n">
        <v>12500</v>
      </c>
      <c r="O346" s="46" t="n">
        <v>2407.8</v>
      </c>
    </row>
    <row r="347" customFormat="false" ht="15" hidden="false" customHeight="false" outlineLevel="0" collapsed="false">
      <c r="A347" s="44" t="n">
        <v>5844</v>
      </c>
      <c r="B347" s="45" t="n">
        <v>684</v>
      </c>
      <c r="C347" s="46" t="n">
        <v>342.4</v>
      </c>
      <c r="D347" s="46" t="n">
        <v>342.4</v>
      </c>
      <c r="E347" s="46" t="n">
        <v>105.3</v>
      </c>
      <c r="F347" s="46" t="n">
        <v>4922.5</v>
      </c>
      <c r="G347" s="45" t="n">
        <v>0</v>
      </c>
      <c r="H347" s="46" t="n">
        <v>105.3</v>
      </c>
      <c r="I347" s="46" t="n">
        <v>0</v>
      </c>
      <c r="J347" s="46" t="n">
        <v>0</v>
      </c>
      <c r="K347" s="46" t="n">
        <v>0</v>
      </c>
      <c r="L347" s="47" t="n">
        <v>0</v>
      </c>
      <c r="M347" s="47" t="n">
        <v>0</v>
      </c>
      <c r="N347" s="46" t="n">
        <v>12500</v>
      </c>
      <c r="O347" s="46" t="n">
        <v>2366.9</v>
      </c>
    </row>
    <row r="348" customFormat="false" ht="15" hidden="false" customHeight="false" outlineLevel="0" collapsed="false">
      <c r="A348" s="44" t="n">
        <v>5861</v>
      </c>
      <c r="B348" s="45" t="n">
        <v>686</v>
      </c>
      <c r="C348" s="46" t="n">
        <v>342.4</v>
      </c>
      <c r="D348" s="46" t="n">
        <v>342.4</v>
      </c>
      <c r="E348" s="46" t="n">
        <v>103.5</v>
      </c>
      <c r="F348" s="46" t="n">
        <v>4922.5</v>
      </c>
      <c r="G348" s="45" t="n">
        <v>0</v>
      </c>
      <c r="H348" s="46" t="n">
        <v>103.5</v>
      </c>
      <c r="I348" s="46" t="n">
        <v>0</v>
      </c>
      <c r="J348" s="46" t="n">
        <v>0</v>
      </c>
      <c r="K348" s="46" t="n">
        <v>0</v>
      </c>
      <c r="L348" s="47" t="n">
        <v>0</v>
      </c>
      <c r="M348" s="47" t="n">
        <v>0</v>
      </c>
      <c r="N348" s="46" t="n">
        <v>12500</v>
      </c>
      <c r="O348" s="46" t="n">
        <v>2326.1</v>
      </c>
    </row>
    <row r="349" customFormat="false" ht="15" hidden="false" customHeight="false" outlineLevel="0" collapsed="false">
      <c r="A349" s="44" t="n">
        <v>5878</v>
      </c>
      <c r="B349" s="45" t="n">
        <v>688</v>
      </c>
      <c r="C349" s="46" t="n">
        <v>342.4</v>
      </c>
      <c r="D349" s="46" t="n">
        <v>342.4</v>
      </c>
      <c r="E349" s="46" t="n">
        <v>101.7</v>
      </c>
      <c r="F349" s="46" t="n">
        <v>4922.5</v>
      </c>
      <c r="G349" s="45" t="n">
        <v>0</v>
      </c>
      <c r="H349" s="46" t="n">
        <v>101.7</v>
      </c>
      <c r="I349" s="46" t="n">
        <v>0</v>
      </c>
      <c r="J349" s="46" t="n">
        <v>0</v>
      </c>
      <c r="K349" s="46" t="n">
        <v>0</v>
      </c>
      <c r="L349" s="47" t="n">
        <v>0</v>
      </c>
      <c r="M349" s="47" t="n">
        <v>0</v>
      </c>
      <c r="N349" s="46" t="n">
        <v>12500</v>
      </c>
      <c r="O349" s="46" t="n">
        <v>2285.2</v>
      </c>
    </row>
    <row r="350" customFormat="false" ht="15" hidden="false" customHeight="false" outlineLevel="0" collapsed="false">
      <c r="A350" s="44" t="n">
        <v>5895</v>
      </c>
      <c r="B350" s="45" t="n">
        <v>690</v>
      </c>
      <c r="C350" s="46" t="n">
        <v>342.4</v>
      </c>
      <c r="D350" s="46" t="n">
        <v>342.4</v>
      </c>
      <c r="E350" s="46" t="n">
        <v>99.9</v>
      </c>
      <c r="F350" s="46" t="n">
        <v>4922.5</v>
      </c>
      <c r="G350" s="45" t="n">
        <v>0</v>
      </c>
      <c r="H350" s="46" t="n">
        <v>99.9</v>
      </c>
      <c r="I350" s="46" t="n">
        <v>0</v>
      </c>
      <c r="J350" s="46" t="n">
        <v>0</v>
      </c>
      <c r="K350" s="46" t="n">
        <v>0</v>
      </c>
      <c r="L350" s="47" t="n">
        <v>0</v>
      </c>
      <c r="M350" s="47" t="n">
        <v>0</v>
      </c>
      <c r="N350" s="46" t="n">
        <v>12500</v>
      </c>
      <c r="O350" s="46" t="n">
        <v>2244.3</v>
      </c>
    </row>
    <row r="351" customFormat="false" ht="15" hidden="false" customHeight="false" outlineLevel="0" collapsed="false">
      <c r="A351" s="44" t="n">
        <v>5913</v>
      </c>
      <c r="B351" s="45" t="n">
        <v>692</v>
      </c>
      <c r="C351" s="46" t="n">
        <v>342.4</v>
      </c>
      <c r="D351" s="46" t="n">
        <v>342.4</v>
      </c>
      <c r="E351" s="46" t="n">
        <v>98</v>
      </c>
      <c r="F351" s="46" t="n">
        <v>4922.5</v>
      </c>
      <c r="G351" s="45" t="n">
        <v>0</v>
      </c>
      <c r="H351" s="46" t="n">
        <v>98</v>
      </c>
      <c r="I351" s="46" t="n">
        <v>0</v>
      </c>
      <c r="J351" s="46" t="n">
        <v>0</v>
      </c>
      <c r="K351" s="46" t="n">
        <v>0</v>
      </c>
      <c r="L351" s="47" t="n">
        <v>0</v>
      </c>
      <c r="M351" s="47" t="n">
        <v>0</v>
      </c>
      <c r="N351" s="46" t="n">
        <v>12500</v>
      </c>
      <c r="O351" s="46" t="n">
        <v>2203.4</v>
      </c>
    </row>
    <row r="352" customFormat="false" ht="15" hidden="false" customHeight="false" outlineLevel="0" collapsed="false">
      <c r="A352" s="44" t="n">
        <v>5930</v>
      </c>
      <c r="B352" s="45" t="n">
        <v>694</v>
      </c>
      <c r="C352" s="46" t="n">
        <v>342.4</v>
      </c>
      <c r="D352" s="46" t="n">
        <v>342.4</v>
      </c>
      <c r="E352" s="46" t="n">
        <v>96.2</v>
      </c>
      <c r="F352" s="46" t="n">
        <v>4922.5</v>
      </c>
      <c r="G352" s="45" t="n">
        <v>0</v>
      </c>
      <c r="H352" s="46" t="n">
        <v>96.2</v>
      </c>
      <c r="I352" s="46" t="n">
        <v>0</v>
      </c>
      <c r="J352" s="46" t="n">
        <v>0</v>
      </c>
      <c r="K352" s="46" t="n">
        <v>0</v>
      </c>
      <c r="L352" s="47" t="n">
        <v>0</v>
      </c>
      <c r="M352" s="47" t="n">
        <v>0</v>
      </c>
      <c r="N352" s="46" t="n">
        <v>12500</v>
      </c>
      <c r="O352" s="46" t="n">
        <v>2162.5</v>
      </c>
    </row>
    <row r="353" customFormat="false" ht="15" hidden="false" customHeight="false" outlineLevel="0" collapsed="false">
      <c r="A353" s="44" t="n">
        <v>5947</v>
      </c>
      <c r="B353" s="45" t="n">
        <v>696</v>
      </c>
      <c r="C353" s="46" t="n">
        <v>342.4</v>
      </c>
      <c r="D353" s="46" t="n">
        <v>342.4</v>
      </c>
      <c r="E353" s="46" t="n">
        <v>94.4</v>
      </c>
      <c r="F353" s="46" t="n">
        <v>4922.5</v>
      </c>
      <c r="G353" s="45" t="n">
        <v>0</v>
      </c>
      <c r="H353" s="46" t="n">
        <v>94.4</v>
      </c>
      <c r="I353" s="46" t="n">
        <v>0</v>
      </c>
      <c r="J353" s="46" t="n">
        <v>0</v>
      </c>
      <c r="K353" s="46" t="n">
        <v>0</v>
      </c>
      <c r="L353" s="47" t="n">
        <v>0</v>
      </c>
      <c r="M353" s="47" t="n">
        <v>0</v>
      </c>
      <c r="N353" s="46" t="n">
        <v>12500</v>
      </c>
      <c r="O353" s="46" t="n">
        <v>2121.7</v>
      </c>
    </row>
    <row r="354" customFormat="false" ht="15" hidden="false" customHeight="false" outlineLevel="0" collapsed="false">
      <c r="A354" s="44" t="n">
        <v>5964</v>
      </c>
      <c r="B354" s="45" t="n">
        <v>698</v>
      </c>
      <c r="C354" s="46" t="n">
        <v>342.4</v>
      </c>
      <c r="D354" s="46" t="n">
        <v>342.4</v>
      </c>
      <c r="E354" s="46" t="n">
        <v>92.6</v>
      </c>
      <c r="F354" s="46" t="n">
        <v>4922.5</v>
      </c>
      <c r="G354" s="45" t="n">
        <v>0</v>
      </c>
      <c r="H354" s="46" t="n">
        <v>92.6</v>
      </c>
      <c r="I354" s="46" t="n">
        <v>0</v>
      </c>
      <c r="J354" s="46" t="n">
        <v>0</v>
      </c>
      <c r="K354" s="46" t="n">
        <v>0</v>
      </c>
      <c r="L354" s="47" t="n">
        <v>0</v>
      </c>
      <c r="M354" s="47" t="n">
        <v>0</v>
      </c>
      <c r="N354" s="46" t="n">
        <v>12500</v>
      </c>
      <c r="O354" s="46" t="n">
        <v>2080.8</v>
      </c>
    </row>
    <row r="355" customFormat="false" ht="15" hidden="false" customHeight="false" outlineLevel="0" collapsed="false">
      <c r="A355" s="44" t="n">
        <v>5981</v>
      </c>
      <c r="B355" s="45" t="n">
        <v>700</v>
      </c>
      <c r="C355" s="46" t="n">
        <v>342.4</v>
      </c>
      <c r="D355" s="46" t="n">
        <v>342.4</v>
      </c>
      <c r="E355" s="46" t="n">
        <v>90.8</v>
      </c>
      <c r="F355" s="46" t="n">
        <v>4922.5</v>
      </c>
      <c r="G355" s="45" t="n">
        <v>0</v>
      </c>
      <c r="H355" s="46" t="n">
        <v>90.8</v>
      </c>
      <c r="I355" s="46" t="n">
        <v>0</v>
      </c>
      <c r="J355" s="46" t="n">
        <v>0</v>
      </c>
      <c r="K355" s="46" t="n">
        <v>0</v>
      </c>
      <c r="L355" s="47" t="n">
        <v>0</v>
      </c>
      <c r="M355" s="47" t="n">
        <v>0</v>
      </c>
      <c r="N355" s="46" t="n">
        <v>12500</v>
      </c>
      <c r="O355" s="46" t="n">
        <v>2039.9</v>
      </c>
    </row>
    <row r="356" customFormat="false" ht="15" hidden="false" customHeight="false" outlineLevel="0" collapsed="false">
      <c r="A356" s="44" t="n">
        <v>5998</v>
      </c>
      <c r="B356" s="45" t="n">
        <v>702</v>
      </c>
      <c r="C356" s="46" t="n">
        <v>342.4</v>
      </c>
      <c r="D356" s="46" t="n">
        <v>342.4</v>
      </c>
      <c r="E356" s="46" t="n">
        <v>89</v>
      </c>
      <c r="F356" s="46" t="n">
        <v>4922.5</v>
      </c>
      <c r="G356" s="45" t="n">
        <v>0</v>
      </c>
      <c r="H356" s="46" t="n">
        <v>89</v>
      </c>
      <c r="I356" s="46" t="n">
        <v>0</v>
      </c>
      <c r="J356" s="46" t="n">
        <v>0</v>
      </c>
      <c r="K356" s="46" t="n">
        <v>0</v>
      </c>
      <c r="L356" s="47" t="n">
        <v>0</v>
      </c>
      <c r="M356" s="47" t="n">
        <v>0</v>
      </c>
      <c r="N356" s="46" t="n">
        <v>12500</v>
      </c>
      <c r="O356" s="46" t="n">
        <v>1999</v>
      </c>
    </row>
    <row r="357" customFormat="false" ht="15" hidden="false" customHeight="false" outlineLevel="0" collapsed="false">
      <c r="A357" s="44" t="n">
        <v>6015</v>
      </c>
      <c r="B357" s="45" t="n">
        <v>704</v>
      </c>
      <c r="C357" s="46" t="n">
        <v>342.4</v>
      </c>
      <c r="D357" s="46" t="n">
        <v>342.4</v>
      </c>
      <c r="E357" s="46" t="n">
        <v>87.1</v>
      </c>
      <c r="F357" s="46" t="n">
        <v>4922.5</v>
      </c>
      <c r="G357" s="45" t="n">
        <v>0</v>
      </c>
      <c r="H357" s="46" t="n">
        <v>87.1</v>
      </c>
      <c r="I357" s="46" t="n">
        <v>0</v>
      </c>
      <c r="J357" s="46" t="n">
        <v>0</v>
      </c>
      <c r="K357" s="46" t="n">
        <v>0</v>
      </c>
      <c r="L357" s="47" t="n">
        <v>0</v>
      </c>
      <c r="M357" s="47" t="n">
        <v>0</v>
      </c>
      <c r="N357" s="46" t="n">
        <v>12500</v>
      </c>
      <c r="O357" s="46" t="n">
        <v>1958.1</v>
      </c>
    </row>
    <row r="358" customFormat="false" ht="15" hidden="false" customHeight="false" outlineLevel="0" collapsed="false">
      <c r="A358" s="44" t="n">
        <v>6032</v>
      </c>
      <c r="B358" s="45" t="n">
        <v>706</v>
      </c>
      <c r="C358" s="46" t="n">
        <v>342.4</v>
      </c>
      <c r="D358" s="46" t="n">
        <v>342.4</v>
      </c>
      <c r="E358" s="46" t="n">
        <v>85.3</v>
      </c>
      <c r="F358" s="46" t="n">
        <v>4922.5</v>
      </c>
      <c r="G358" s="45" t="n">
        <v>0</v>
      </c>
      <c r="H358" s="46" t="n">
        <v>85.3</v>
      </c>
      <c r="I358" s="46" t="n">
        <v>0</v>
      </c>
      <c r="J358" s="46" t="n">
        <v>0</v>
      </c>
      <c r="K358" s="46" t="n">
        <v>0</v>
      </c>
      <c r="L358" s="47" t="n">
        <v>0</v>
      </c>
      <c r="M358" s="47" t="n">
        <v>0</v>
      </c>
      <c r="N358" s="46" t="n">
        <v>12500</v>
      </c>
      <c r="O358" s="46" t="n">
        <v>1917.2</v>
      </c>
    </row>
    <row r="359" customFormat="false" ht="15" hidden="false" customHeight="false" outlineLevel="0" collapsed="false">
      <c r="A359" s="44" t="n">
        <v>6049</v>
      </c>
      <c r="B359" s="45" t="n">
        <v>708</v>
      </c>
      <c r="C359" s="46" t="n">
        <v>342.4</v>
      </c>
      <c r="D359" s="46" t="n">
        <v>342.4</v>
      </c>
      <c r="E359" s="46" t="n">
        <v>83.5</v>
      </c>
      <c r="F359" s="46" t="n">
        <v>4922.5</v>
      </c>
      <c r="G359" s="45" t="n">
        <v>0</v>
      </c>
      <c r="H359" s="46" t="n">
        <v>83.5</v>
      </c>
      <c r="I359" s="46" t="n">
        <v>0</v>
      </c>
      <c r="J359" s="46" t="n">
        <v>0</v>
      </c>
      <c r="K359" s="46" t="n">
        <v>0</v>
      </c>
      <c r="L359" s="47" t="n">
        <v>0</v>
      </c>
      <c r="M359" s="47" t="n">
        <v>0</v>
      </c>
      <c r="N359" s="46" t="n">
        <v>12500</v>
      </c>
      <c r="O359" s="46" t="n">
        <v>1876.4</v>
      </c>
    </row>
    <row r="360" customFormat="false" ht="15" hidden="false" customHeight="false" outlineLevel="0" collapsed="false">
      <c r="A360" s="44" t="n">
        <v>6066</v>
      </c>
      <c r="B360" s="45" t="n">
        <v>710</v>
      </c>
      <c r="C360" s="46" t="n">
        <v>342.4</v>
      </c>
      <c r="D360" s="46" t="n">
        <v>342.4</v>
      </c>
      <c r="E360" s="46" t="n">
        <v>81.7</v>
      </c>
      <c r="F360" s="46" t="n">
        <v>4922.5</v>
      </c>
      <c r="G360" s="45" t="n">
        <v>0</v>
      </c>
      <c r="H360" s="46" t="n">
        <v>81.7</v>
      </c>
      <c r="I360" s="46" t="n">
        <v>0</v>
      </c>
      <c r="J360" s="46" t="n">
        <v>0</v>
      </c>
      <c r="K360" s="46" t="n">
        <v>0</v>
      </c>
      <c r="L360" s="47" t="n">
        <v>0</v>
      </c>
      <c r="M360" s="47" t="n">
        <v>0</v>
      </c>
      <c r="N360" s="46" t="n">
        <v>12500</v>
      </c>
      <c r="O360" s="46" t="n">
        <v>1835.5</v>
      </c>
    </row>
    <row r="361" customFormat="false" ht="15" hidden="false" customHeight="false" outlineLevel="0" collapsed="false">
      <c r="A361" s="44" t="n">
        <v>6083</v>
      </c>
      <c r="B361" s="45" t="n">
        <v>712</v>
      </c>
      <c r="C361" s="46" t="n">
        <v>342.4</v>
      </c>
      <c r="D361" s="46" t="n">
        <v>342.4</v>
      </c>
      <c r="E361" s="46" t="n">
        <v>79.9</v>
      </c>
      <c r="F361" s="46" t="n">
        <v>4922.5</v>
      </c>
      <c r="G361" s="45" t="n">
        <v>0</v>
      </c>
      <c r="H361" s="46" t="n">
        <v>79.9</v>
      </c>
      <c r="I361" s="46" t="n">
        <v>0</v>
      </c>
      <c r="J361" s="46" t="n">
        <v>0</v>
      </c>
      <c r="K361" s="46" t="n">
        <v>0</v>
      </c>
      <c r="L361" s="47" t="n">
        <v>0</v>
      </c>
      <c r="M361" s="47" t="n">
        <v>0</v>
      </c>
      <c r="N361" s="46" t="n">
        <v>12500</v>
      </c>
      <c r="O361" s="46" t="n">
        <v>1794.6</v>
      </c>
    </row>
    <row r="362" customFormat="false" ht="15" hidden="false" customHeight="false" outlineLevel="0" collapsed="false">
      <c r="A362" s="44" t="n">
        <v>6100</v>
      </c>
      <c r="B362" s="45" t="n">
        <v>714</v>
      </c>
      <c r="C362" s="46" t="n">
        <v>342.4</v>
      </c>
      <c r="D362" s="46" t="n">
        <v>342.4</v>
      </c>
      <c r="E362" s="46" t="n">
        <v>78</v>
      </c>
      <c r="F362" s="46" t="n">
        <v>4922.5</v>
      </c>
      <c r="G362" s="45" t="n">
        <v>0</v>
      </c>
      <c r="H362" s="46" t="n">
        <v>78</v>
      </c>
      <c r="I362" s="46" t="n">
        <v>0</v>
      </c>
      <c r="J362" s="46" t="n">
        <v>0</v>
      </c>
      <c r="K362" s="46" t="n">
        <v>0</v>
      </c>
      <c r="L362" s="47" t="n">
        <v>0</v>
      </c>
      <c r="M362" s="47" t="n">
        <v>0</v>
      </c>
      <c r="N362" s="46" t="n">
        <v>12500</v>
      </c>
      <c r="O362" s="46" t="n">
        <v>1753.7</v>
      </c>
    </row>
    <row r="363" customFormat="false" ht="15" hidden="false" customHeight="false" outlineLevel="0" collapsed="false">
      <c r="A363" s="44" t="n">
        <v>6118</v>
      </c>
      <c r="B363" s="45" t="n">
        <v>716</v>
      </c>
      <c r="C363" s="46" t="n">
        <v>342.4</v>
      </c>
      <c r="D363" s="46" t="n">
        <v>342.4</v>
      </c>
      <c r="E363" s="46" t="n">
        <v>76.2</v>
      </c>
      <c r="F363" s="46" t="n">
        <v>4922.5</v>
      </c>
      <c r="G363" s="45" t="n">
        <v>0</v>
      </c>
      <c r="H363" s="46" t="n">
        <v>76.2</v>
      </c>
      <c r="I363" s="46" t="n">
        <v>0</v>
      </c>
      <c r="J363" s="46" t="n">
        <v>0</v>
      </c>
      <c r="K363" s="46" t="n">
        <v>0</v>
      </c>
      <c r="L363" s="47" t="n">
        <v>0</v>
      </c>
      <c r="M363" s="47" t="n">
        <v>0</v>
      </c>
      <c r="N363" s="46" t="n">
        <v>12500</v>
      </c>
      <c r="O363" s="46" t="n">
        <v>1712.8</v>
      </c>
    </row>
    <row r="364" customFormat="false" ht="15" hidden="false" customHeight="false" outlineLevel="0" collapsed="false">
      <c r="A364" s="44" t="n">
        <v>6135</v>
      </c>
      <c r="B364" s="45" t="n">
        <v>718</v>
      </c>
      <c r="C364" s="46" t="n">
        <v>342.4</v>
      </c>
      <c r="D364" s="46" t="n">
        <v>342.4</v>
      </c>
      <c r="E364" s="46" t="n">
        <v>74.4</v>
      </c>
      <c r="F364" s="46" t="n">
        <v>4922.5</v>
      </c>
      <c r="G364" s="45" t="n">
        <v>0</v>
      </c>
      <c r="H364" s="46" t="n">
        <v>74.4</v>
      </c>
      <c r="I364" s="46" t="n">
        <v>0</v>
      </c>
      <c r="J364" s="46" t="n">
        <v>0</v>
      </c>
      <c r="K364" s="46" t="n">
        <v>0</v>
      </c>
      <c r="L364" s="47" t="n">
        <v>0</v>
      </c>
      <c r="M364" s="47" t="n">
        <v>0</v>
      </c>
      <c r="N364" s="46" t="n">
        <v>12500</v>
      </c>
      <c r="O364" s="46" t="n">
        <v>1672</v>
      </c>
    </row>
    <row r="365" customFormat="false" ht="15" hidden="false" customHeight="false" outlineLevel="0" collapsed="false">
      <c r="A365" s="44" t="n">
        <v>6152</v>
      </c>
      <c r="B365" s="45" t="n">
        <v>720</v>
      </c>
      <c r="C365" s="46" t="n">
        <v>342.4</v>
      </c>
      <c r="D365" s="46" t="n">
        <v>342.4</v>
      </c>
      <c r="E365" s="46" t="n">
        <v>72.6</v>
      </c>
      <c r="F365" s="46" t="n">
        <v>4922.5</v>
      </c>
      <c r="G365" s="45" t="n">
        <v>0</v>
      </c>
      <c r="H365" s="46" t="n">
        <v>72.6</v>
      </c>
      <c r="I365" s="46" t="n">
        <v>0</v>
      </c>
      <c r="J365" s="46" t="n">
        <v>0</v>
      </c>
      <c r="K365" s="46" t="n">
        <v>0</v>
      </c>
      <c r="L365" s="47" t="n">
        <v>0</v>
      </c>
      <c r="M365" s="47" t="n">
        <v>0</v>
      </c>
      <c r="N365" s="46" t="n">
        <v>12500</v>
      </c>
      <c r="O365" s="46" t="n">
        <v>1631.1</v>
      </c>
    </row>
    <row r="366" customFormat="false" ht="15" hidden="false" customHeight="false" outlineLevel="0" collapsed="false">
      <c r="A366" s="44" t="n">
        <v>6169</v>
      </c>
      <c r="B366" s="45" t="n">
        <v>722</v>
      </c>
      <c r="C366" s="46" t="n">
        <v>342.4</v>
      </c>
      <c r="D366" s="46" t="n">
        <v>342.4</v>
      </c>
      <c r="E366" s="46" t="n">
        <v>70.8</v>
      </c>
      <c r="F366" s="46" t="n">
        <v>4922.5</v>
      </c>
      <c r="G366" s="45" t="n">
        <v>0</v>
      </c>
      <c r="H366" s="46" t="n">
        <v>70.8</v>
      </c>
      <c r="I366" s="46" t="n">
        <v>0</v>
      </c>
      <c r="J366" s="46" t="n">
        <v>0</v>
      </c>
      <c r="K366" s="46" t="n">
        <v>0</v>
      </c>
      <c r="L366" s="47" t="n">
        <v>0</v>
      </c>
      <c r="M366" s="47" t="n">
        <v>0</v>
      </c>
      <c r="N366" s="46" t="n">
        <v>12500</v>
      </c>
      <c r="O366" s="46" t="n">
        <v>1590.2</v>
      </c>
    </row>
    <row r="367" customFormat="false" ht="15" hidden="false" customHeight="false" outlineLevel="0" collapsed="false">
      <c r="A367" s="44" t="n">
        <v>6186</v>
      </c>
      <c r="B367" s="45" t="n">
        <v>724</v>
      </c>
      <c r="C367" s="46" t="n">
        <v>342.4</v>
      </c>
      <c r="D367" s="46" t="n">
        <v>342.4</v>
      </c>
      <c r="E367" s="46" t="n">
        <v>68.9</v>
      </c>
      <c r="F367" s="46" t="n">
        <v>4922.5</v>
      </c>
      <c r="G367" s="45" t="n">
        <v>0</v>
      </c>
      <c r="H367" s="46" t="n">
        <v>68.9</v>
      </c>
      <c r="I367" s="46" t="n">
        <v>0</v>
      </c>
      <c r="J367" s="46" t="n">
        <v>0</v>
      </c>
      <c r="K367" s="46" t="n">
        <v>0</v>
      </c>
      <c r="L367" s="47" t="n">
        <v>0</v>
      </c>
      <c r="M367" s="47" t="n">
        <v>0</v>
      </c>
      <c r="N367" s="46" t="n">
        <v>12500</v>
      </c>
      <c r="O367" s="46" t="n">
        <v>1549.3</v>
      </c>
    </row>
    <row r="368" customFormat="false" ht="15" hidden="false" customHeight="false" outlineLevel="0" collapsed="false">
      <c r="A368" s="44" t="n">
        <v>6203</v>
      </c>
      <c r="B368" s="45" t="n">
        <v>726</v>
      </c>
      <c r="C368" s="46" t="n">
        <v>342.4</v>
      </c>
      <c r="D368" s="46" t="n">
        <v>342.4</v>
      </c>
      <c r="E368" s="46" t="n">
        <v>67.1</v>
      </c>
      <c r="F368" s="46" t="n">
        <v>4922.5</v>
      </c>
      <c r="G368" s="45" t="n">
        <v>0</v>
      </c>
      <c r="H368" s="46" t="n">
        <v>67.1</v>
      </c>
      <c r="I368" s="46" t="n">
        <v>0</v>
      </c>
      <c r="J368" s="46" t="n">
        <v>0</v>
      </c>
      <c r="K368" s="46" t="n">
        <v>0</v>
      </c>
      <c r="L368" s="47" t="n">
        <v>0</v>
      </c>
      <c r="M368" s="47" t="n">
        <v>0</v>
      </c>
      <c r="N368" s="46" t="n">
        <v>12500</v>
      </c>
      <c r="O368" s="46" t="n">
        <v>1508.4</v>
      </c>
    </row>
    <row r="369" customFormat="false" ht="15" hidden="false" customHeight="false" outlineLevel="0" collapsed="false">
      <c r="A369" s="44" t="n">
        <v>6220</v>
      </c>
      <c r="B369" s="45" t="n">
        <v>728</v>
      </c>
      <c r="C369" s="46" t="n">
        <v>342.4</v>
      </c>
      <c r="D369" s="46" t="n">
        <v>342.4</v>
      </c>
      <c r="E369" s="46" t="n">
        <v>65.3</v>
      </c>
      <c r="F369" s="46" t="n">
        <v>4922.5</v>
      </c>
      <c r="G369" s="45" t="n">
        <v>0</v>
      </c>
      <c r="H369" s="46" t="n">
        <v>65.3</v>
      </c>
      <c r="I369" s="46" t="n">
        <v>0</v>
      </c>
      <c r="J369" s="46" t="n">
        <v>0</v>
      </c>
      <c r="K369" s="46" t="n">
        <v>0</v>
      </c>
      <c r="L369" s="47" t="n">
        <v>0</v>
      </c>
      <c r="M369" s="47" t="n">
        <v>0</v>
      </c>
      <c r="N369" s="46" t="n">
        <v>12500</v>
      </c>
      <c r="O369" s="46" t="n">
        <v>1467.5</v>
      </c>
    </row>
    <row r="370" customFormat="false" ht="15" hidden="false" customHeight="false" outlineLevel="0" collapsed="false">
      <c r="A370" s="44" t="n">
        <v>6237</v>
      </c>
      <c r="B370" s="45" t="n">
        <v>730</v>
      </c>
      <c r="C370" s="46" t="n">
        <v>342.4</v>
      </c>
      <c r="D370" s="46" t="n">
        <v>342.4</v>
      </c>
      <c r="E370" s="46" t="n">
        <v>63.5</v>
      </c>
      <c r="F370" s="46" t="n">
        <v>4922.5</v>
      </c>
      <c r="G370" s="45" t="n">
        <v>0</v>
      </c>
      <c r="H370" s="46" t="n">
        <v>63.5</v>
      </c>
      <c r="I370" s="46" t="n">
        <v>0</v>
      </c>
      <c r="J370" s="46" t="n">
        <v>0</v>
      </c>
      <c r="K370" s="46" t="n">
        <v>0</v>
      </c>
      <c r="L370" s="47" t="n">
        <v>0</v>
      </c>
      <c r="M370" s="47" t="n">
        <v>0</v>
      </c>
      <c r="N370" s="46" t="n">
        <v>12500</v>
      </c>
      <c r="O370" s="46" t="n">
        <v>1426.7</v>
      </c>
    </row>
    <row r="371" customFormat="false" ht="15" hidden="false" customHeight="false" outlineLevel="0" collapsed="false">
      <c r="A371" s="44" t="n">
        <v>6254</v>
      </c>
      <c r="B371" s="45" t="n">
        <v>732</v>
      </c>
      <c r="C371" s="46" t="n">
        <v>342.4</v>
      </c>
      <c r="D371" s="46" t="n">
        <v>342.4</v>
      </c>
      <c r="E371" s="46" t="n">
        <v>61.7</v>
      </c>
      <c r="F371" s="46" t="n">
        <v>4922.5</v>
      </c>
      <c r="G371" s="45" t="n">
        <v>0</v>
      </c>
      <c r="H371" s="46" t="n">
        <v>61.7</v>
      </c>
      <c r="I371" s="46" t="n">
        <v>0</v>
      </c>
      <c r="J371" s="46" t="n">
        <v>0</v>
      </c>
      <c r="K371" s="46" t="n">
        <v>0</v>
      </c>
      <c r="L371" s="47" t="n">
        <v>0</v>
      </c>
      <c r="M371" s="47" t="n">
        <v>0</v>
      </c>
      <c r="N371" s="46" t="n">
        <v>12500</v>
      </c>
      <c r="O371" s="46" t="n">
        <v>1385.8</v>
      </c>
    </row>
    <row r="372" customFormat="false" ht="15" hidden="false" customHeight="false" outlineLevel="0" collapsed="false">
      <c r="A372" s="44" t="n">
        <v>6271</v>
      </c>
      <c r="B372" s="45" t="n">
        <v>734</v>
      </c>
      <c r="C372" s="46" t="n">
        <v>342.4</v>
      </c>
      <c r="D372" s="46" t="n">
        <v>342.4</v>
      </c>
      <c r="E372" s="46" t="n">
        <v>59.8</v>
      </c>
      <c r="F372" s="46" t="n">
        <v>4922.5</v>
      </c>
      <c r="G372" s="45" t="n">
        <v>0</v>
      </c>
      <c r="H372" s="46" t="n">
        <v>59.8</v>
      </c>
      <c r="I372" s="46" t="n">
        <v>0</v>
      </c>
      <c r="J372" s="46" t="n">
        <v>0</v>
      </c>
      <c r="K372" s="46" t="n">
        <v>0</v>
      </c>
      <c r="L372" s="47" t="n">
        <v>0</v>
      </c>
      <c r="M372" s="47" t="n">
        <v>0</v>
      </c>
      <c r="N372" s="46" t="n">
        <v>12500</v>
      </c>
      <c r="O372" s="46" t="n">
        <v>1344.9</v>
      </c>
    </row>
    <row r="373" customFormat="false" ht="15" hidden="false" customHeight="false" outlineLevel="0" collapsed="false">
      <c r="A373" s="44" t="n">
        <v>6288</v>
      </c>
      <c r="B373" s="45" t="n">
        <v>736</v>
      </c>
      <c r="C373" s="46" t="n">
        <v>342.4</v>
      </c>
      <c r="D373" s="46" t="n">
        <v>342.4</v>
      </c>
      <c r="E373" s="46" t="n">
        <v>58</v>
      </c>
      <c r="F373" s="46" t="n">
        <v>4922.5</v>
      </c>
      <c r="G373" s="45" t="n">
        <v>0</v>
      </c>
      <c r="H373" s="46" t="n">
        <v>58</v>
      </c>
      <c r="I373" s="46" t="n">
        <v>0</v>
      </c>
      <c r="J373" s="46" t="n">
        <v>0</v>
      </c>
      <c r="K373" s="46" t="n">
        <v>0</v>
      </c>
      <c r="L373" s="47" t="n">
        <v>0</v>
      </c>
      <c r="M373" s="47" t="n">
        <v>0</v>
      </c>
      <c r="N373" s="46" t="n">
        <v>12500</v>
      </c>
      <c r="O373" s="46" t="n">
        <v>1304</v>
      </c>
    </row>
    <row r="374" customFormat="false" ht="15" hidden="false" customHeight="false" outlineLevel="0" collapsed="false">
      <c r="A374" s="44" t="n">
        <v>6306</v>
      </c>
      <c r="B374" s="45" t="n">
        <v>738</v>
      </c>
      <c r="C374" s="46" t="n">
        <v>342.4</v>
      </c>
      <c r="D374" s="46" t="n">
        <v>342.4</v>
      </c>
      <c r="E374" s="46" t="n">
        <v>56.2</v>
      </c>
      <c r="F374" s="46" t="n">
        <v>4922.5</v>
      </c>
      <c r="G374" s="45" t="n">
        <v>0</v>
      </c>
      <c r="H374" s="46" t="n">
        <v>56.2</v>
      </c>
      <c r="I374" s="46" t="n">
        <v>0</v>
      </c>
      <c r="J374" s="46" t="n">
        <v>0</v>
      </c>
      <c r="K374" s="46" t="n">
        <v>0</v>
      </c>
      <c r="L374" s="47" t="n">
        <v>0</v>
      </c>
      <c r="M374" s="47" t="n">
        <v>0</v>
      </c>
      <c r="N374" s="46" t="n">
        <v>12500</v>
      </c>
      <c r="O374" s="46" t="n">
        <v>1263.1</v>
      </c>
    </row>
    <row r="375" customFormat="false" ht="15" hidden="false" customHeight="false" outlineLevel="0" collapsed="false">
      <c r="A375" s="44" t="n">
        <v>6323</v>
      </c>
      <c r="B375" s="45" t="n">
        <v>740</v>
      </c>
      <c r="C375" s="46" t="n">
        <v>342.4</v>
      </c>
      <c r="D375" s="46" t="n">
        <v>342.4</v>
      </c>
      <c r="E375" s="46" t="n">
        <v>54.4</v>
      </c>
      <c r="F375" s="46" t="n">
        <v>4922.5</v>
      </c>
      <c r="G375" s="45" t="n">
        <v>0</v>
      </c>
      <c r="H375" s="46" t="n">
        <v>54.4</v>
      </c>
      <c r="I375" s="46" t="n">
        <v>0</v>
      </c>
      <c r="J375" s="46" t="n">
        <v>0</v>
      </c>
      <c r="K375" s="46" t="n">
        <v>0</v>
      </c>
      <c r="L375" s="47" t="n">
        <v>0</v>
      </c>
      <c r="M375" s="47" t="n">
        <v>0</v>
      </c>
      <c r="N375" s="46" t="n">
        <v>12500</v>
      </c>
      <c r="O375" s="46" t="n">
        <v>1222.3</v>
      </c>
    </row>
    <row r="376" customFormat="false" ht="15" hidden="false" customHeight="false" outlineLevel="0" collapsed="false">
      <c r="A376" s="44" t="n">
        <v>6340</v>
      </c>
      <c r="B376" s="45" t="n">
        <v>742</v>
      </c>
      <c r="C376" s="46" t="n">
        <v>342.4</v>
      </c>
      <c r="D376" s="46" t="n">
        <v>342.4</v>
      </c>
      <c r="E376" s="46" t="n">
        <v>52.6</v>
      </c>
      <c r="F376" s="46" t="n">
        <v>4922.5</v>
      </c>
      <c r="G376" s="45" t="n">
        <v>0</v>
      </c>
      <c r="H376" s="46" t="n">
        <v>52.6</v>
      </c>
      <c r="I376" s="46" t="n">
        <v>0</v>
      </c>
      <c r="J376" s="46" t="n">
        <v>0</v>
      </c>
      <c r="K376" s="46" t="n">
        <v>0</v>
      </c>
      <c r="L376" s="47" t="n">
        <v>0</v>
      </c>
      <c r="M376" s="47" t="n">
        <v>0</v>
      </c>
      <c r="N376" s="46" t="n">
        <v>12500</v>
      </c>
      <c r="O376" s="46" t="n">
        <v>1181.4</v>
      </c>
    </row>
    <row r="377" customFormat="false" ht="15" hidden="false" customHeight="false" outlineLevel="0" collapsed="false">
      <c r="A377" s="44" t="n">
        <v>6357</v>
      </c>
      <c r="B377" s="45" t="n">
        <v>744</v>
      </c>
      <c r="C377" s="46" t="n">
        <v>342.4</v>
      </c>
      <c r="D377" s="46" t="n">
        <v>342.4</v>
      </c>
      <c r="E377" s="46" t="n">
        <v>50.8</v>
      </c>
      <c r="F377" s="46" t="n">
        <v>4922.5</v>
      </c>
      <c r="G377" s="45" t="n">
        <v>0</v>
      </c>
      <c r="H377" s="46" t="n">
        <v>50.8</v>
      </c>
      <c r="I377" s="46" t="n">
        <v>0</v>
      </c>
      <c r="J377" s="46" t="n">
        <v>0</v>
      </c>
      <c r="K377" s="46" t="n">
        <v>0</v>
      </c>
      <c r="L377" s="47" t="n">
        <v>0</v>
      </c>
      <c r="M377" s="47" t="n">
        <v>0</v>
      </c>
      <c r="N377" s="46" t="n">
        <v>12500</v>
      </c>
      <c r="O377" s="46" t="n">
        <v>1140.5</v>
      </c>
    </row>
    <row r="378" customFormat="false" ht="15" hidden="false" customHeight="false" outlineLevel="0" collapsed="false">
      <c r="A378" s="44" t="n">
        <v>6374</v>
      </c>
      <c r="B378" s="45" t="n">
        <v>746</v>
      </c>
      <c r="C378" s="46" t="n">
        <v>342.4</v>
      </c>
      <c r="D378" s="46" t="n">
        <v>342.4</v>
      </c>
      <c r="E378" s="46" t="n">
        <v>48.9</v>
      </c>
      <c r="F378" s="46" t="n">
        <v>4922.5</v>
      </c>
      <c r="G378" s="45" t="n">
        <v>0</v>
      </c>
      <c r="H378" s="46" t="n">
        <v>48.9</v>
      </c>
      <c r="I378" s="46" t="n">
        <v>0</v>
      </c>
      <c r="J378" s="46" t="n">
        <v>0</v>
      </c>
      <c r="K378" s="46" t="n">
        <v>0</v>
      </c>
      <c r="L378" s="47" t="n">
        <v>0</v>
      </c>
      <c r="M378" s="47" t="n">
        <v>0</v>
      </c>
      <c r="N378" s="46" t="n">
        <v>12500</v>
      </c>
      <c r="O378" s="46" t="n">
        <v>1099.6</v>
      </c>
    </row>
    <row r="379" customFormat="false" ht="15" hidden="false" customHeight="false" outlineLevel="0" collapsed="false">
      <c r="A379" s="44" t="n">
        <v>6391</v>
      </c>
      <c r="B379" s="45" t="n">
        <v>748</v>
      </c>
      <c r="C379" s="46" t="n">
        <v>342.4</v>
      </c>
      <c r="D379" s="46" t="n">
        <v>342.4</v>
      </c>
      <c r="E379" s="46" t="n">
        <v>47.1</v>
      </c>
      <c r="F379" s="46" t="n">
        <v>4922.5</v>
      </c>
      <c r="G379" s="45" t="n">
        <v>0</v>
      </c>
      <c r="H379" s="46" t="n">
        <v>47.1</v>
      </c>
      <c r="I379" s="46" t="n">
        <v>0</v>
      </c>
      <c r="J379" s="46" t="n">
        <v>0</v>
      </c>
      <c r="K379" s="46" t="n">
        <v>0</v>
      </c>
      <c r="L379" s="47" t="n">
        <v>0</v>
      </c>
      <c r="M379" s="47" t="n">
        <v>0</v>
      </c>
      <c r="N379" s="46" t="n">
        <v>12500</v>
      </c>
      <c r="O379" s="46" t="n">
        <v>1058.7</v>
      </c>
    </row>
    <row r="380" customFormat="false" ht="15" hidden="false" customHeight="false" outlineLevel="0" collapsed="false">
      <c r="A380" s="44" t="n">
        <v>6408</v>
      </c>
      <c r="B380" s="45" t="n">
        <v>750</v>
      </c>
      <c r="C380" s="46" t="n">
        <v>342.4</v>
      </c>
      <c r="D380" s="46" t="n">
        <v>342.4</v>
      </c>
      <c r="E380" s="46" t="n">
        <v>45.3</v>
      </c>
      <c r="F380" s="46" t="n">
        <v>4922.5</v>
      </c>
      <c r="G380" s="45" t="n">
        <v>0</v>
      </c>
      <c r="H380" s="46" t="n">
        <v>45.3</v>
      </c>
      <c r="I380" s="46" t="n">
        <v>0</v>
      </c>
      <c r="J380" s="46" t="n">
        <v>0</v>
      </c>
      <c r="K380" s="46" t="n">
        <v>0</v>
      </c>
      <c r="L380" s="47" t="n">
        <v>0</v>
      </c>
      <c r="M380" s="47" t="n">
        <v>0</v>
      </c>
      <c r="N380" s="46" t="n">
        <v>12500</v>
      </c>
      <c r="O380" s="46" t="n">
        <v>1017.8</v>
      </c>
    </row>
    <row r="381" customFormat="false" ht="15" hidden="false" customHeight="false" outlineLevel="0" collapsed="false">
      <c r="A381" s="44" t="n">
        <v>6425</v>
      </c>
      <c r="B381" s="45" t="n">
        <v>752</v>
      </c>
      <c r="C381" s="46" t="n">
        <v>342.4</v>
      </c>
      <c r="D381" s="46" t="n">
        <v>342.4</v>
      </c>
      <c r="E381" s="46" t="n">
        <v>43.5</v>
      </c>
      <c r="F381" s="46" t="n">
        <v>4922.5</v>
      </c>
      <c r="G381" s="45" t="n">
        <v>0</v>
      </c>
      <c r="H381" s="46" t="n">
        <v>43.5</v>
      </c>
      <c r="I381" s="46" t="n">
        <v>0</v>
      </c>
      <c r="J381" s="46" t="n">
        <v>0</v>
      </c>
      <c r="K381" s="46" t="n">
        <v>0</v>
      </c>
      <c r="L381" s="47" t="n">
        <v>0</v>
      </c>
      <c r="M381" s="47" t="n">
        <v>0</v>
      </c>
      <c r="N381" s="46" t="n">
        <v>12500</v>
      </c>
      <c r="O381" s="46" t="n">
        <v>977</v>
      </c>
    </row>
    <row r="382" customFormat="false" ht="15" hidden="false" customHeight="false" outlineLevel="0" collapsed="false">
      <c r="A382" s="44" t="n">
        <v>6442</v>
      </c>
      <c r="B382" s="45" t="n">
        <v>754</v>
      </c>
      <c r="C382" s="46" t="n">
        <v>342.4</v>
      </c>
      <c r="D382" s="46" t="n">
        <v>342.4</v>
      </c>
      <c r="E382" s="46" t="n">
        <v>41.7</v>
      </c>
      <c r="F382" s="46" t="n">
        <v>4922.5</v>
      </c>
      <c r="G382" s="45" t="n">
        <v>0</v>
      </c>
      <c r="H382" s="46" t="n">
        <v>41.7</v>
      </c>
      <c r="I382" s="46" t="n">
        <v>0</v>
      </c>
      <c r="J382" s="46" t="n">
        <v>0</v>
      </c>
      <c r="K382" s="46" t="n">
        <v>0</v>
      </c>
      <c r="L382" s="47" t="n">
        <v>0</v>
      </c>
      <c r="M382" s="47" t="n">
        <v>0</v>
      </c>
      <c r="N382" s="46" t="n">
        <v>12500</v>
      </c>
      <c r="O382" s="46" t="n">
        <v>936.1</v>
      </c>
    </row>
    <row r="383" customFormat="false" ht="15" hidden="false" customHeight="false" outlineLevel="0" collapsed="false">
      <c r="A383" s="44" t="n">
        <v>6459</v>
      </c>
      <c r="B383" s="45" t="n">
        <v>756</v>
      </c>
      <c r="C383" s="46" t="n">
        <v>342.4</v>
      </c>
      <c r="D383" s="46" t="n">
        <v>342.4</v>
      </c>
      <c r="E383" s="46" t="n">
        <v>39.8</v>
      </c>
      <c r="F383" s="46" t="n">
        <v>4922.5</v>
      </c>
      <c r="G383" s="45" t="n">
        <v>0</v>
      </c>
      <c r="H383" s="46" t="n">
        <v>39.8</v>
      </c>
      <c r="I383" s="46" t="n">
        <v>0</v>
      </c>
      <c r="J383" s="46" t="n">
        <v>0</v>
      </c>
      <c r="K383" s="46" t="n">
        <v>0</v>
      </c>
      <c r="L383" s="47" t="n">
        <v>0</v>
      </c>
      <c r="M383" s="47" t="n">
        <v>0</v>
      </c>
      <c r="N383" s="46" t="n">
        <v>12500</v>
      </c>
      <c r="O383" s="46" t="n">
        <v>895.2</v>
      </c>
    </row>
    <row r="384" customFormat="false" ht="15" hidden="false" customHeight="false" outlineLevel="0" collapsed="false">
      <c r="A384" s="44" t="n">
        <v>6476</v>
      </c>
      <c r="B384" s="45" t="n">
        <v>758</v>
      </c>
      <c r="C384" s="46" t="n">
        <v>342.4</v>
      </c>
      <c r="D384" s="46" t="n">
        <v>342.4</v>
      </c>
      <c r="E384" s="46" t="n">
        <v>38</v>
      </c>
      <c r="F384" s="46" t="n">
        <v>4922.5</v>
      </c>
      <c r="G384" s="45" t="n">
        <v>0</v>
      </c>
      <c r="H384" s="46" t="n">
        <v>38</v>
      </c>
      <c r="I384" s="46" t="n">
        <v>0</v>
      </c>
      <c r="J384" s="46" t="n">
        <v>0</v>
      </c>
      <c r="K384" s="46" t="n">
        <v>0</v>
      </c>
      <c r="L384" s="47" t="n">
        <v>0</v>
      </c>
      <c r="M384" s="47" t="n">
        <v>0</v>
      </c>
      <c r="N384" s="46" t="n">
        <v>12500</v>
      </c>
      <c r="O384" s="46" t="n">
        <v>854.3</v>
      </c>
    </row>
    <row r="385" customFormat="false" ht="15" hidden="false" customHeight="false" outlineLevel="0" collapsed="false">
      <c r="A385" s="44" t="n">
        <v>6494</v>
      </c>
      <c r="B385" s="45" t="n">
        <v>760</v>
      </c>
      <c r="C385" s="46" t="n">
        <v>342.4</v>
      </c>
      <c r="D385" s="46" t="n">
        <v>342.4</v>
      </c>
      <c r="E385" s="46" t="n">
        <v>36.2</v>
      </c>
      <c r="F385" s="46" t="n">
        <v>4922.5</v>
      </c>
      <c r="G385" s="45" t="n">
        <v>0</v>
      </c>
      <c r="H385" s="46" t="n">
        <v>36.2</v>
      </c>
      <c r="I385" s="46" t="n">
        <v>0</v>
      </c>
      <c r="J385" s="46" t="n">
        <v>0</v>
      </c>
      <c r="K385" s="46" t="n">
        <v>0</v>
      </c>
      <c r="L385" s="47" t="n">
        <v>0</v>
      </c>
      <c r="M385" s="47" t="n">
        <v>0</v>
      </c>
      <c r="N385" s="46" t="n">
        <v>12500</v>
      </c>
      <c r="O385" s="46" t="n">
        <v>813.4</v>
      </c>
    </row>
    <row r="386" customFormat="false" ht="15" hidden="false" customHeight="false" outlineLevel="0" collapsed="false">
      <c r="A386" s="44" t="n">
        <v>6511</v>
      </c>
      <c r="B386" s="45" t="n">
        <v>762</v>
      </c>
      <c r="C386" s="46" t="n">
        <v>342.4</v>
      </c>
      <c r="D386" s="46" t="n">
        <v>342.4</v>
      </c>
      <c r="E386" s="46" t="n">
        <v>34.4</v>
      </c>
      <c r="F386" s="46" t="n">
        <v>4922.5</v>
      </c>
      <c r="G386" s="45" t="n">
        <v>0</v>
      </c>
      <c r="H386" s="46" t="n">
        <v>34.4</v>
      </c>
      <c r="I386" s="46" t="n">
        <v>0</v>
      </c>
      <c r="J386" s="46" t="n">
        <v>0</v>
      </c>
      <c r="K386" s="46" t="n">
        <v>0</v>
      </c>
      <c r="L386" s="47" t="n">
        <v>0</v>
      </c>
      <c r="M386" s="47" t="n">
        <v>0</v>
      </c>
      <c r="N386" s="46" t="n">
        <v>12500</v>
      </c>
      <c r="O386" s="46" t="n">
        <v>772.6</v>
      </c>
    </row>
    <row r="387" customFormat="false" ht="15" hidden="false" customHeight="false" outlineLevel="0" collapsed="false">
      <c r="A387" s="44" t="n">
        <v>6528</v>
      </c>
      <c r="B387" s="45" t="n">
        <v>764</v>
      </c>
      <c r="C387" s="46" t="n">
        <v>342.4</v>
      </c>
      <c r="D387" s="46" t="n">
        <v>342.4</v>
      </c>
      <c r="E387" s="46" t="n">
        <v>32.6</v>
      </c>
      <c r="F387" s="46" t="n">
        <v>4922.5</v>
      </c>
      <c r="G387" s="45" t="n">
        <v>0</v>
      </c>
      <c r="H387" s="46" t="n">
        <v>32.6</v>
      </c>
      <c r="I387" s="46" t="n">
        <v>0</v>
      </c>
      <c r="J387" s="46" t="n">
        <v>0</v>
      </c>
      <c r="K387" s="46" t="n">
        <v>0</v>
      </c>
      <c r="L387" s="47" t="n">
        <v>0</v>
      </c>
      <c r="M387" s="47" t="n">
        <v>0</v>
      </c>
      <c r="N387" s="46" t="n">
        <v>12500</v>
      </c>
      <c r="O387" s="46" t="n">
        <v>731.7</v>
      </c>
    </row>
    <row r="388" customFormat="false" ht="15" hidden="false" customHeight="false" outlineLevel="0" collapsed="false">
      <c r="A388" s="44" t="n">
        <v>6545</v>
      </c>
      <c r="B388" s="45" t="n">
        <v>766</v>
      </c>
      <c r="C388" s="46" t="n">
        <v>342.4</v>
      </c>
      <c r="D388" s="46" t="n">
        <v>342.4</v>
      </c>
      <c r="E388" s="46" t="n">
        <v>30.7</v>
      </c>
      <c r="F388" s="46" t="n">
        <v>4922.5</v>
      </c>
      <c r="G388" s="45" t="n">
        <v>0</v>
      </c>
      <c r="H388" s="46" t="n">
        <v>30.7</v>
      </c>
      <c r="I388" s="46" t="n">
        <v>0</v>
      </c>
      <c r="J388" s="46" t="n">
        <v>0</v>
      </c>
      <c r="K388" s="46" t="n">
        <v>0</v>
      </c>
      <c r="L388" s="47" t="n">
        <v>0</v>
      </c>
      <c r="M388" s="47" t="n">
        <v>0</v>
      </c>
      <c r="N388" s="46" t="n">
        <v>12500</v>
      </c>
      <c r="O388" s="46" t="n">
        <v>690.8</v>
      </c>
    </row>
    <row r="389" customFormat="false" ht="15" hidden="false" customHeight="false" outlineLevel="0" collapsed="false">
      <c r="A389" s="44" t="n">
        <v>6562</v>
      </c>
      <c r="B389" s="45" t="n">
        <v>768</v>
      </c>
      <c r="C389" s="46" t="n">
        <v>342.4</v>
      </c>
      <c r="D389" s="46" t="n">
        <v>342.4</v>
      </c>
      <c r="E389" s="46" t="n">
        <v>28.9</v>
      </c>
      <c r="F389" s="46" t="n">
        <v>4922.5</v>
      </c>
      <c r="G389" s="45" t="n">
        <v>0</v>
      </c>
      <c r="H389" s="46" t="n">
        <v>28.9</v>
      </c>
      <c r="I389" s="46" t="n">
        <v>0</v>
      </c>
      <c r="J389" s="46" t="n">
        <v>0</v>
      </c>
      <c r="K389" s="46" t="n">
        <v>0</v>
      </c>
      <c r="L389" s="47" t="n">
        <v>0</v>
      </c>
      <c r="M389" s="47" t="n">
        <v>0</v>
      </c>
      <c r="N389" s="46" t="n">
        <v>12500</v>
      </c>
      <c r="O389" s="46" t="n">
        <v>649.9</v>
      </c>
    </row>
    <row r="390" customFormat="false" ht="15" hidden="false" customHeight="false" outlineLevel="0" collapsed="false">
      <c r="A390" s="44" t="n">
        <v>6579</v>
      </c>
      <c r="B390" s="45" t="n">
        <v>770</v>
      </c>
      <c r="C390" s="46" t="n">
        <v>342.4</v>
      </c>
      <c r="D390" s="46" t="n">
        <v>342.4</v>
      </c>
      <c r="E390" s="46" t="n">
        <v>27.1</v>
      </c>
      <c r="F390" s="46" t="n">
        <v>4922.5</v>
      </c>
      <c r="G390" s="45" t="n">
        <v>0</v>
      </c>
      <c r="H390" s="46" t="n">
        <v>27.1</v>
      </c>
      <c r="I390" s="46" t="n">
        <v>0</v>
      </c>
      <c r="J390" s="46" t="n">
        <v>0</v>
      </c>
      <c r="K390" s="46" t="n">
        <v>0</v>
      </c>
      <c r="L390" s="47" t="n">
        <v>0</v>
      </c>
      <c r="M390" s="47" t="n">
        <v>0</v>
      </c>
      <c r="N390" s="46" t="n">
        <v>12500</v>
      </c>
      <c r="O390" s="46" t="n">
        <v>609</v>
      </c>
    </row>
    <row r="391" customFormat="false" ht="15" hidden="false" customHeight="false" outlineLevel="0" collapsed="false">
      <c r="A391" s="44" t="n">
        <v>6596</v>
      </c>
      <c r="B391" s="45" t="n">
        <v>772</v>
      </c>
      <c r="C391" s="46" t="n">
        <v>342.4</v>
      </c>
      <c r="D391" s="46" t="n">
        <v>342.4</v>
      </c>
      <c r="E391" s="46" t="n">
        <v>25.3</v>
      </c>
      <c r="F391" s="46" t="n">
        <v>4922.5</v>
      </c>
      <c r="G391" s="45" t="n">
        <v>0</v>
      </c>
      <c r="H391" s="46" t="n">
        <v>25.3</v>
      </c>
      <c r="I391" s="46" t="n">
        <v>0</v>
      </c>
      <c r="J391" s="46" t="n">
        <v>0</v>
      </c>
      <c r="K391" s="46" t="n">
        <v>0</v>
      </c>
      <c r="L391" s="47" t="n">
        <v>0</v>
      </c>
      <c r="M391" s="47" t="n">
        <v>0</v>
      </c>
      <c r="N391" s="46" t="n">
        <v>12500</v>
      </c>
      <c r="O391" s="46" t="n">
        <v>568.1</v>
      </c>
    </row>
    <row r="392" customFormat="false" ht="15" hidden="false" customHeight="false" outlineLevel="0" collapsed="false">
      <c r="A392" s="44" t="n">
        <v>6613</v>
      </c>
      <c r="B392" s="45" t="n">
        <v>774</v>
      </c>
      <c r="C392" s="46" t="n">
        <v>342.4</v>
      </c>
      <c r="D392" s="46" t="n">
        <v>342.4</v>
      </c>
      <c r="E392" s="46" t="n">
        <v>23.5</v>
      </c>
      <c r="F392" s="46" t="n">
        <v>4922.5</v>
      </c>
      <c r="G392" s="45" t="n">
        <v>0</v>
      </c>
      <c r="H392" s="46" t="n">
        <v>23.5</v>
      </c>
      <c r="I392" s="46" t="n">
        <v>0</v>
      </c>
      <c r="J392" s="46" t="n">
        <v>0</v>
      </c>
      <c r="K392" s="46" t="n">
        <v>0</v>
      </c>
      <c r="L392" s="47" t="n">
        <v>0</v>
      </c>
      <c r="M392" s="47" t="n">
        <v>0</v>
      </c>
      <c r="N392" s="46" t="n">
        <v>12500</v>
      </c>
      <c r="O392" s="46" t="n">
        <v>527.3</v>
      </c>
    </row>
    <row r="393" customFormat="false" ht="15" hidden="false" customHeight="false" outlineLevel="0" collapsed="false">
      <c r="A393" s="44" t="n">
        <v>6630</v>
      </c>
      <c r="B393" s="45" t="n">
        <v>776</v>
      </c>
      <c r="C393" s="46" t="n">
        <v>342.4</v>
      </c>
      <c r="D393" s="46" t="n">
        <v>342.4</v>
      </c>
      <c r="E393" s="46" t="n">
        <v>21.6</v>
      </c>
      <c r="F393" s="46" t="n">
        <v>4922.5</v>
      </c>
      <c r="G393" s="45" t="n">
        <v>0</v>
      </c>
      <c r="H393" s="46" t="n">
        <v>21.6</v>
      </c>
      <c r="I393" s="46" t="n">
        <v>0</v>
      </c>
      <c r="J393" s="46" t="n">
        <v>0</v>
      </c>
      <c r="K393" s="46" t="n">
        <v>0</v>
      </c>
      <c r="L393" s="47" t="n">
        <v>0</v>
      </c>
      <c r="M393" s="47" t="n">
        <v>0</v>
      </c>
      <c r="N393" s="46" t="n">
        <v>12500</v>
      </c>
      <c r="O393" s="46" t="n">
        <v>486.4</v>
      </c>
    </row>
    <row r="394" customFormat="false" ht="15" hidden="false" customHeight="false" outlineLevel="0" collapsed="false">
      <c r="A394" s="44" t="n">
        <v>6647</v>
      </c>
      <c r="B394" s="45" t="n">
        <v>778</v>
      </c>
      <c r="C394" s="46" t="n">
        <v>342.4</v>
      </c>
      <c r="D394" s="46" t="n">
        <v>342.4</v>
      </c>
      <c r="E394" s="46" t="n">
        <v>19.8</v>
      </c>
      <c r="F394" s="46" t="n">
        <v>4922.5</v>
      </c>
      <c r="G394" s="45" t="n">
        <v>0</v>
      </c>
      <c r="H394" s="46" t="n">
        <v>19.8</v>
      </c>
      <c r="I394" s="46" t="n">
        <v>0</v>
      </c>
      <c r="J394" s="46" t="n">
        <v>0</v>
      </c>
      <c r="K394" s="46" t="n">
        <v>0</v>
      </c>
      <c r="L394" s="47" t="n">
        <v>0</v>
      </c>
      <c r="M394" s="47" t="n">
        <v>0</v>
      </c>
      <c r="N394" s="46" t="n">
        <v>12500</v>
      </c>
      <c r="O394" s="46" t="n">
        <v>445.5</v>
      </c>
    </row>
    <row r="395" customFormat="false" ht="15" hidden="false" customHeight="false" outlineLevel="0" collapsed="false">
      <c r="A395" s="44" t="n">
        <v>6664</v>
      </c>
      <c r="B395" s="45" t="n">
        <v>780</v>
      </c>
      <c r="C395" s="46" t="n">
        <v>342.4</v>
      </c>
      <c r="D395" s="46" t="n">
        <v>342.4</v>
      </c>
      <c r="E395" s="46" t="n">
        <v>18</v>
      </c>
      <c r="F395" s="46" t="n">
        <v>4922.5</v>
      </c>
      <c r="G395" s="45" t="n">
        <v>0</v>
      </c>
      <c r="H395" s="46" t="n">
        <v>18</v>
      </c>
      <c r="I395" s="46" t="n">
        <v>0</v>
      </c>
      <c r="J395" s="46" t="n">
        <v>0</v>
      </c>
      <c r="K395" s="46" t="n">
        <v>0</v>
      </c>
      <c r="L395" s="47" t="n">
        <v>0</v>
      </c>
      <c r="M395" s="47" t="n">
        <v>0</v>
      </c>
      <c r="N395" s="46" t="n">
        <v>12500</v>
      </c>
      <c r="O395" s="46" t="n">
        <v>404.6</v>
      </c>
    </row>
    <row r="396" customFormat="false" ht="15" hidden="false" customHeight="false" outlineLevel="0" collapsed="false">
      <c r="A396" s="44" t="n">
        <v>6681</v>
      </c>
      <c r="B396" s="45" t="n">
        <v>782</v>
      </c>
      <c r="C396" s="46" t="n">
        <v>342.4</v>
      </c>
      <c r="D396" s="46" t="n">
        <v>342.4</v>
      </c>
      <c r="E396" s="46" t="n">
        <v>16.2</v>
      </c>
      <c r="F396" s="46" t="n">
        <v>4922.5</v>
      </c>
      <c r="G396" s="45" t="n">
        <v>0</v>
      </c>
      <c r="H396" s="46" t="n">
        <v>16.2</v>
      </c>
      <c r="I396" s="46" t="n">
        <v>0</v>
      </c>
      <c r="J396" s="46" t="n">
        <v>0</v>
      </c>
      <c r="K396" s="46" t="n">
        <v>0</v>
      </c>
      <c r="L396" s="47" t="n">
        <v>0</v>
      </c>
      <c r="M396" s="47" t="n">
        <v>0</v>
      </c>
      <c r="N396" s="46" t="n">
        <v>12500</v>
      </c>
      <c r="O396" s="46" t="n">
        <v>363.7</v>
      </c>
    </row>
    <row r="397" customFormat="false" ht="15" hidden="false" customHeight="false" outlineLevel="0" collapsed="false">
      <c r="A397" s="44" t="n">
        <v>6699</v>
      </c>
      <c r="B397" s="45" t="n">
        <v>784</v>
      </c>
      <c r="C397" s="46" t="n">
        <v>342.4</v>
      </c>
      <c r="D397" s="46" t="n">
        <v>342.4</v>
      </c>
      <c r="E397" s="46" t="n">
        <v>14.4</v>
      </c>
      <c r="F397" s="46" t="n">
        <v>4922.5</v>
      </c>
      <c r="G397" s="45" t="n">
        <v>0</v>
      </c>
      <c r="H397" s="46" t="n">
        <v>14.4</v>
      </c>
      <c r="I397" s="46" t="n">
        <v>0</v>
      </c>
      <c r="J397" s="46" t="n">
        <v>0</v>
      </c>
      <c r="K397" s="46" t="n">
        <v>0</v>
      </c>
      <c r="L397" s="47" t="n">
        <v>0</v>
      </c>
      <c r="M397" s="47" t="n">
        <v>0</v>
      </c>
      <c r="N397" s="46" t="n">
        <v>12500</v>
      </c>
      <c r="O397" s="46" t="n">
        <v>322.9</v>
      </c>
    </row>
    <row r="398" customFormat="false" ht="15" hidden="false" customHeight="false" outlineLevel="0" collapsed="false">
      <c r="A398" s="44" t="n">
        <v>6716</v>
      </c>
      <c r="B398" s="45" t="n">
        <v>786</v>
      </c>
      <c r="C398" s="46" t="n">
        <v>342.4</v>
      </c>
      <c r="D398" s="46" t="n">
        <v>342.4</v>
      </c>
      <c r="E398" s="46" t="n">
        <v>12.5</v>
      </c>
      <c r="F398" s="46" t="n">
        <v>4922.5</v>
      </c>
      <c r="G398" s="45" t="n">
        <v>0</v>
      </c>
      <c r="H398" s="46" t="n">
        <v>12.5</v>
      </c>
      <c r="I398" s="46" t="n">
        <v>0</v>
      </c>
      <c r="J398" s="46" t="n">
        <v>0</v>
      </c>
      <c r="K398" s="46" t="n">
        <v>0</v>
      </c>
      <c r="L398" s="47" t="n">
        <v>0</v>
      </c>
      <c r="M398" s="47" t="n">
        <v>0</v>
      </c>
      <c r="N398" s="46" t="n">
        <v>12500</v>
      </c>
      <c r="O398" s="46" t="n">
        <v>282</v>
      </c>
    </row>
    <row r="399" customFormat="false" ht="15" hidden="false" customHeight="false" outlineLevel="0" collapsed="false">
      <c r="A399" s="44" t="n">
        <v>6733</v>
      </c>
      <c r="B399" s="45" t="n">
        <v>788</v>
      </c>
      <c r="C399" s="46" t="n">
        <v>342.4</v>
      </c>
      <c r="D399" s="46" t="n">
        <v>342.4</v>
      </c>
      <c r="E399" s="46" t="n">
        <v>10.7</v>
      </c>
      <c r="F399" s="46" t="n">
        <v>4922.5</v>
      </c>
      <c r="G399" s="45" t="n">
        <v>0</v>
      </c>
      <c r="H399" s="46" t="n">
        <v>10.7</v>
      </c>
      <c r="I399" s="46" t="n">
        <v>0</v>
      </c>
      <c r="J399" s="46" t="n">
        <v>0</v>
      </c>
      <c r="K399" s="46" t="n">
        <v>0</v>
      </c>
      <c r="L399" s="47" t="n">
        <v>0</v>
      </c>
      <c r="M399" s="47" t="n">
        <v>0</v>
      </c>
      <c r="N399" s="46" t="n">
        <v>12500</v>
      </c>
      <c r="O399" s="46" t="n">
        <v>241.1</v>
      </c>
    </row>
    <row r="400" customFormat="false" ht="15" hidden="false" customHeight="false" outlineLevel="0" collapsed="false">
      <c r="A400" s="44" t="n">
        <v>6750</v>
      </c>
      <c r="B400" s="45" t="n">
        <v>790</v>
      </c>
      <c r="C400" s="46" t="n">
        <v>342.4</v>
      </c>
      <c r="D400" s="46" t="n">
        <v>342.4</v>
      </c>
      <c r="E400" s="46" t="n">
        <v>8.9</v>
      </c>
      <c r="F400" s="46" t="n">
        <v>4922.5</v>
      </c>
      <c r="G400" s="45" t="n">
        <v>0</v>
      </c>
      <c r="H400" s="46" t="n">
        <v>8.9</v>
      </c>
      <c r="I400" s="46" t="n">
        <v>0</v>
      </c>
      <c r="J400" s="46" t="n">
        <v>0</v>
      </c>
      <c r="K400" s="46" t="n">
        <v>0</v>
      </c>
      <c r="L400" s="47" t="n">
        <v>0</v>
      </c>
      <c r="M400" s="47" t="n">
        <v>0</v>
      </c>
      <c r="N400" s="46" t="n">
        <v>12500</v>
      </c>
      <c r="O400" s="46" t="n">
        <v>200.2</v>
      </c>
    </row>
    <row r="401" customFormat="false" ht="15" hidden="false" customHeight="false" outlineLevel="0" collapsed="false">
      <c r="A401" s="44" t="n">
        <v>6767</v>
      </c>
      <c r="B401" s="45" t="n">
        <v>792</v>
      </c>
      <c r="C401" s="46" t="n">
        <v>342.4</v>
      </c>
      <c r="D401" s="46" t="n">
        <v>342.4</v>
      </c>
      <c r="E401" s="46" t="n">
        <v>7.1</v>
      </c>
      <c r="F401" s="46" t="n">
        <v>4922.5</v>
      </c>
      <c r="G401" s="45" t="n">
        <v>0</v>
      </c>
      <c r="H401" s="46" t="n">
        <v>7.1</v>
      </c>
      <c r="I401" s="46" t="n">
        <v>0</v>
      </c>
      <c r="J401" s="46" t="n">
        <v>0</v>
      </c>
      <c r="K401" s="46" t="n">
        <v>0</v>
      </c>
      <c r="L401" s="47" t="n">
        <v>0</v>
      </c>
      <c r="M401" s="47" t="n">
        <v>0</v>
      </c>
      <c r="N401" s="46" t="n">
        <v>12500</v>
      </c>
      <c r="O401" s="46" t="n">
        <v>159.3</v>
      </c>
    </row>
    <row r="402" customFormat="false" ht="15" hidden="false" customHeight="false" outlineLevel="0" collapsed="false">
      <c r="A402" s="44" t="n">
        <v>6784</v>
      </c>
      <c r="B402" s="45" t="n">
        <v>794</v>
      </c>
      <c r="C402" s="46" t="n">
        <v>342.4</v>
      </c>
      <c r="D402" s="46" t="n">
        <v>342.4</v>
      </c>
      <c r="E402" s="46" t="n">
        <v>5.3</v>
      </c>
      <c r="F402" s="46" t="n">
        <v>4922.5</v>
      </c>
      <c r="G402" s="45" t="n">
        <v>0</v>
      </c>
      <c r="H402" s="46" t="n">
        <v>5.3</v>
      </c>
      <c r="I402" s="46" t="n">
        <v>0</v>
      </c>
      <c r="J402" s="46" t="n">
        <v>0</v>
      </c>
      <c r="K402" s="46" t="n">
        <v>0</v>
      </c>
      <c r="L402" s="47" t="n">
        <v>0</v>
      </c>
      <c r="M402" s="47" t="n">
        <v>0</v>
      </c>
      <c r="N402" s="46" t="n">
        <v>12500</v>
      </c>
      <c r="O402" s="46" t="n">
        <v>118.4</v>
      </c>
    </row>
    <row r="403" customFormat="false" ht="15" hidden="false" customHeight="false" outlineLevel="0" collapsed="false">
      <c r="A403" s="44" t="n">
        <v>6801</v>
      </c>
      <c r="B403" s="45" t="n">
        <v>796</v>
      </c>
      <c r="C403" s="46" t="n">
        <v>342.4</v>
      </c>
      <c r="D403" s="46" t="n">
        <v>342.4</v>
      </c>
      <c r="E403" s="46" t="n">
        <v>3.5</v>
      </c>
      <c r="F403" s="46" t="n">
        <v>4922.5</v>
      </c>
      <c r="G403" s="45" t="n">
        <v>0</v>
      </c>
      <c r="H403" s="46" t="n">
        <v>3.5</v>
      </c>
      <c r="I403" s="46" t="n">
        <v>0</v>
      </c>
      <c r="J403" s="46" t="n">
        <v>0</v>
      </c>
      <c r="K403" s="46" t="n">
        <v>0</v>
      </c>
      <c r="L403" s="47" t="n">
        <v>0</v>
      </c>
      <c r="M403" s="47" t="n">
        <v>0</v>
      </c>
      <c r="N403" s="46" t="n">
        <v>12500</v>
      </c>
      <c r="O403" s="46" t="n">
        <v>77.6</v>
      </c>
    </row>
    <row r="404" customFormat="false" ht="15" hidden="false" customHeight="false" outlineLevel="0" collapsed="false">
      <c r="A404" s="44" t="n">
        <v>6818</v>
      </c>
      <c r="B404" s="45" t="n">
        <v>798</v>
      </c>
      <c r="C404" s="46" t="n">
        <v>342.4</v>
      </c>
      <c r="D404" s="46" t="n">
        <v>342.4</v>
      </c>
      <c r="E404" s="46" t="n">
        <v>1.6</v>
      </c>
      <c r="F404" s="46" t="n">
        <v>4922.5</v>
      </c>
      <c r="G404" s="45" t="n">
        <v>0</v>
      </c>
      <c r="H404" s="46" t="n">
        <v>1.6</v>
      </c>
      <c r="I404" s="46" t="n">
        <v>0</v>
      </c>
      <c r="J404" s="46" t="n">
        <v>0</v>
      </c>
      <c r="K404" s="46" t="n">
        <v>0</v>
      </c>
      <c r="L404" s="47" t="n">
        <v>0</v>
      </c>
      <c r="M404" s="47" t="n">
        <v>0</v>
      </c>
      <c r="N404" s="46" t="n">
        <v>12500</v>
      </c>
      <c r="O404" s="46" t="n">
        <v>36.7</v>
      </c>
    </row>
    <row r="405" customFormat="false" ht="15" hidden="false" customHeight="false" outlineLevel="0" collapsed="false">
      <c r="A405" s="44" t="n">
        <v>6834</v>
      </c>
      <c r="B405" s="45" t="n">
        <v>799.79</v>
      </c>
      <c r="C405" s="46" t="n">
        <v>342.4</v>
      </c>
      <c r="D405" s="46" t="n">
        <v>342.4</v>
      </c>
      <c r="E405" s="46" t="n">
        <v>0</v>
      </c>
      <c r="F405" s="46" t="n">
        <v>4922.5</v>
      </c>
      <c r="G405" s="45" t="n">
        <v>0</v>
      </c>
      <c r="H405" s="46" t="n">
        <v>0</v>
      </c>
      <c r="I405" s="46" t="n">
        <v>0</v>
      </c>
      <c r="J405" s="46" t="n">
        <v>0</v>
      </c>
      <c r="K405" s="46" t="n">
        <v>0</v>
      </c>
      <c r="L405" s="47" t="n">
        <v>0</v>
      </c>
      <c r="M405" s="47" t="n">
        <v>0</v>
      </c>
      <c r="N405" s="46" t="n">
        <v>12500</v>
      </c>
      <c r="O405" s="46" t="n">
        <v>0</v>
      </c>
    </row>
    <row r="407" customFormat="false" ht="15" hidden="false" customHeight="false" outlineLevel="0" collapsed="false">
      <c r="A407" s="32" t="s">
        <v>272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6" min="2" style="0" width="17"/>
  </cols>
  <sheetData>
    <row r="1" customFormat="false" ht="17.35" hidden="false" customHeight="false" outlineLevel="0" collapsed="false">
      <c r="A1" s="31" t="s">
        <v>273</v>
      </c>
    </row>
    <row r="2" customFormat="false" ht="15" hidden="false" customHeight="false" outlineLevel="0" collapsed="false">
      <c r="A2" s="32" t="s">
        <v>274</v>
      </c>
    </row>
    <row r="4" customFormat="false" ht="15" hidden="false" customHeight="false" outlineLevel="0" collapsed="false">
      <c r="A4" s="48" t="s">
        <v>275</v>
      </c>
    </row>
    <row r="5" customFormat="false" ht="15" hidden="false" customHeight="false" outlineLevel="0" collapsed="false">
      <c r="A5" s="49" t="s">
        <v>276</v>
      </c>
      <c r="B5" s="47" t="n">
        <v>9.5</v>
      </c>
      <c r="C5" s="49" t="s">
        <v>49</v>
      </c>
    </row>
    <row r="6" customFormat="false" ht="15" hidden="false" customHeight="false" outlineLevel="0" collapsed="false">
      <c r="A6" s="49" t="s">
        <v>277</v>
      </c>
      <c r="B6" s="47" t="n">
        <v>0.1</v>
      </c>
      <c r="C6" s="49" t="s">
        <v>59</v>
      </c>
    </row>
    <row r="7" customFormat="false" ht="15" hidden="false" customHeight="false" outlineLevel="0" collapsed="false">
      <c r="A7" s="49" t="s">
        <v>278</v>
      </c>
      <c r="B7" s="47" t="n">
        <v>9000</v>
      </c>
      <c r="C7" s="49" t="s">
        <v>16</v>
      </c>
    </row>
    <row r="8" customFormat="false" ht="15" hidden="false" customHeight="false" outlineLevel="0" collapsed="false">
      <c r="A8" s="49" t="s">
        <v>279</v>
      </c>
      <c r="B8" s="47" t="n">
        <v>0.0178</v>
      </c>
      <c r="C8" s="49" t="s">
        <v>280</v>
      </c>
    </row>
    <row r="9" customFormat="false" ht="15" hidden="false" customHeight="false" outlineLevel="0" collapsed="false">
      <c r="A9" s="49" t="s">
        <v>281</v>
      </c>
      <c r="B9" s="47" t="n">
        <v>15</v>
      </c>
      <c r="C9" s="49" t="s">
        <v>67</v>
      </c>
    </row>
    <row r="10" customFormat="false" ht="15" hidden="false" customHeight="false" outlineLevel="0" collapsed="false">
      <c r="A10" s="49" t="s">
        <v>86</v>
      </c>
      <c r="B10" s="47" t="n">
        <v>500</v>
      </c>
      <c r="C10" s="49" t="s">
        <v>64</v>
      </c>
    </row>
    <row r="11" customFormat="false" ht="15" hidden="false" customHeight="false" outlineLevel="0" collapsed="false">
      <c r="A11" s="49" t="s">
        <v>233</v>
      </c>
      <c r="B11" s="47" t="n">
        <v>1600</v>
      </c>
      <c r="C11" s="49" t="s">
        <v>64</v>
      </c>
    </row>
    <row r="12" customFormat="false" ht="15" hidden="false" customHeight="false" outlineLevel="0" collapsed="false">
      <c r="A12" s="49" t="s">
        <v>282</v>
      </c>
      <c r="B12" s="47" t="n">
        <v>10.6</v>
      </c>
      <c r="C12" s="49" t="s">
        <v>49</v>
      </c>
    </row>
    <row r="13" customFormat="false" ht="15" hidden="false" customHeight="false" outlineLevel="0" collapsed="false">
      <c r="A13" s="49" t="s">
        <v>283</v>
      </c>
      <c r="B13" s="47" t="n">
        <v>1227</v>
      </c>
      <c r="C13" s="49" t="s">
        <v>64</v>
      </c>
    </row>
    <row r="15" customFormat="false" ht="15" hidden="false" customHeight="false" outlineLevel="0" collapsed="false">
      <c r="A15" s="48" t="s">
        <v>284</v>
      </c>
    </row>
    <row r="16" customFormat="false" ht="15" hidden="false" customHeight="false" outlineLevel="0" collapsed="false">
      <c r="A16" s="49" t="s">
        <v>285</v>
      </c>
      <c r="B16" s="50" t="n">
        <f aca="false">$B$11-$B$10</f>
        <v>1100</v>
      </c>
      <c r="C16" s="49" t="s">
        <v>64</v>
      </c>
    </row>
    <row r="17" customFormat="false" ht="15" hidden="false" customHeight="false" outlineLevel="0" collapsed="false">
      <c r="A17" s="49" t="s">
        <v>286</v>
      </c>
      <c r="B17" s="50" t="n">
        <f aca="false">$B$10+0.052*$B$5*$B$7</f>
        <v>4946</v>
      </c>
      <c r="C17" s="49" t="s">
        <v>64</v>
      </c>
    </row>
    <row r="18" customFormat="false" ht="15" hidden="false" customHeight="false" outlineLevel="0" collapsed="false">
      <c r="A18" s="49" t="s">
        <v>287</v>
      </c>
      <c r="B18" s="50" t="n">
        <f aca="false">$B$5+$B$10/(0.052*$B$7)</f>
        <v>10.5683760683761</v>
      </c>
      <c r="C18" s="49" t="s">
        <v>49</v>
      </c>
    </row>
    <row r="19" customFormat="false" ht="15" hidden="false" customHeight="false" outlineLevel="0" collapsed="false">
      <c r="A19" s="49" t="s">
        <v>288</v>
      </c>
      <c r="B19" s="50" t="n">
        <f aca="false">$B$8*$B$7</f>
        <v>160.2</v>
      </c>
      <c r="C19" s="49" t="s">
        <v>67</v>
      </c>
    </row>
    <row r="20" customFormat="false" ht="15" hidden="false" customHeight="false" outlineLevel="0" collapsed="false">
      <c r="A20" s="49" t="s">
        <v>231</v>
      </c>
      <c r="B20" s="50" t="n">
        <f aca="false">$B$19/$B$6</f>
        <v>1602</v>
      </c>
      <c r="C20" s="49" t="s">
        <v>78</v>
      </c>
    </row>
    <row r="21" customFormat="false" ht="15" hidden="false" customHeight="false" outlineLevel="0" collapsed="false">
      <c r="A21" s="49" t="s">
        <v>289</v>
      </c>
      <c r="B21" s="50" t="n">
        <f aca="false">$B$9/$B$6</f>
        <v>150</v>
      </c>
      <c r="C21" s="49" t="s">
        <v>78</v>
      </c>
    </row>
    <row r="23" customFormat="false" ht="23.85" hidden="false" customHeight="false" outlineLevel="0" collapsed="false">
      <c r="A23" s="21" t="s">
        <v>257</v>
      </c>
      <c r="B23" s="21" t="s">
        <v>290</v>
      </c>
      <c r="C23" s="21" t="s">
        <v>291</v>
      </c>
      <c r="D23" s="21" t="s">
        <v>292</v>
      </c>
      <c r="E23" s="21" t="s">
        <v>293</v>
      </c>
      <c r="F23" s="21" t="s">
        <v>294</v>
      </c>
    </row>
    <row r="24" customFormat="false" ht="15" hidden="false" customHeight="false" outlineLevel="0" collapsed="false">
      <c r="A24" s="47" t="n">
        <v>150</v>
      </c>
      <c r="B24" s="47" t="n">
        <v>1600</v>
      </c>
      <c r="C24" s="51" t="n">
        <f aca="false">$B$11-($B$11-$B$13)*MIN(MAX(A24-$B$21,0),$B$20)/$B$20</f>
        <v>1600</v>
      </c>
      <c r="D24" s="51" t="n">
        <f aca="false">$B$17+($B$16+($B$13-$B$16)*MIN(MAX(A24-$B$21,0),$B$20)/$B$20)-(0.052*$B$12*(MIN(MAX(A24-$B$21,0),$B$20)/$B$20*$B$7)+0.052*$B$5*($B$7-(MIN(MAX(A24-$B$21,0),$B$20)/$B$20*$B$7)))</f>
        <v>1600</v>
      </c>
      <c r="E24" s="51" t="n">
        <f aca="false">B24-C24</f>
        <v>0</v>
      </c>
      <c r="F24" s="51" t="n">
        <f aca="false">C24-D24</f>
        <v>0</v>
      </c>
    </row>
    <row r="25" customFormat="false" ht="15" hidden="false" customHeight="false" outlineLevel="0" collapsed="false">
      <c r="A25" s="47" t="n">
        <v>350</v>
      </c>
      <c r="B25" s="47" t="n">
        <v>1554</v>
      </c>
      <c r="C25" s="51" t="n">
        <f aca="false">$B$11-($B$11-$B$13)*MIN(MAX(A25-$B$21,0),$B$20)/$B$20</f>
        <v>1553.43320848939</v>
      </c>
      <c r="D25" s="51" t="n">
        <f aca="false">$B$17+($B$16+($B$13-$B$16)*MIN(MAX(A25-$B$21,0),$B$20)/$B$20)-(0.052*$B$12*(MIN(MAX(A25-$B$21,0),$B$20)/$B$20*$B$7)+0.052*$B$5*($B$7-(MIN(MAX(A25-$B$21,0),$B$20)/$B$20*$B$7)))</f>
        <v>1551.58551810237</v>
      </c>
      <c r="E25" s="51" t="n">
        <f aca="false">B25-C25</f>
        <v>0.566791510611665</v>
      </c>
      <c r="F25" s="51" t="n">
        <f aca="false">C25-D25</f>
        <v>1.84769038701666</v>
      </c>
    </row>
    <row r="26" customFormat="false" ht="15" hidden="false" customHeight="false" outlineLevel="0" collapsed="false">
      <c r="A26" s="47" t="n">
        <v>550</v>
      </c>
      <c r="B26" s="47" t="n">
        <v>1506</v>
      </c>
      <c r="C26" s="51" t="n">
        <f aca="false">$B$11-($B$11-$B$13)*MIN(MAX(A26-$B$21,0),$B$20)/$B$20</f>
        <v>1506.86641697878</v>
      </c>
      <c r="D26" s="51" t="n">
        <f aca="false">$B$17+($B$16+($B$13-$B$16)*MIN(MAX(A26-$B$21,0),$B$20)/$B$20)-(0.052*$B$12*(MIN(MAX(A26-$B$21,0),$B$20)/$B$20*$B$7)+0.052*$B$5*($B$7-(MIN(MAX(A26-$B$21,0),$B$20)/$B$20*$B$7)))</f>
        <v>1503.17103620474</v>
      </c>
      <c r="E26" s="51" t="n">
        <f aca="false">B26-C26</f>
        <v>-0.866416978776442</v>
      </c>
      <c r="F26" s="51" t="n">
        <f aca="false">C26-D26</f>
        <v>3.69538077403217</v>
      </c>
    </row>
    <row r="27" customFormat="false" ht="15" hidden="false" customHeight="false" outlineLevel="0" collapsed="false">
      <c r="A27" s="47" t="n">
        <v>750</v>
      </c>
      <c r="B27" s="47" t="n">
        <v>1459</v>
      </c>
      <c r="C27" s="51" t="n">
        <f aca="false">$B$11-($B$11-$B$13)*MIN(MAX(A27-$B$21,0),$B$20)/$B$20</f>
        <v>1460.29962546816</v>
      </c>
      <c r="D27" s="51" t="n">
        <f aca="false">$B$17+($B$16+($B$13-$B$16)*MIN(MAX(A27-$B$21,0),$B$20)/$B$20)-(0.052*$B$12*(MIN(MAX(A27-$B$21,0),$B$20)/$B$20*$B$7)+0.052*$B$5*($B$7-(MIN(MAX(A27-$B$21,0),$B$20)/$B$20*$B$7)))</f>
        <v>1454.75655430712</v>
      </c>
      <c r="E27" s="51" t="n">
        <f aca="false">B27-C27</f>
        <v>-1.29962546816478</v>
      </c>
      <c r="F27" s="51" t="n">
        <f aca="false">C27-D27</f>
        <v>5.54307116104792</v>
      </c>
    </row>
    <row r="28" customFormat="false" ht="15" hidden="false" customHeight="false" outlineLevel="0" collapsed="false">
      <c r="A28" s="47" t="n">
        <v>950</v>
      </c>
      <c r="B28" s="47" t="n">
        <v>1412</v>
      </c>
      <c r="C28" s="51" t="n">
        <f aca="false">$B$11-($B$11-$B$13)*MIN(MAX(A28-$B$21,0),$B$20)/$B$20</f>
        <v>1413.73283395755</v>
      </c>
      <c r="D28" s="51" t="n">
        <f aca="false">$B$17+($B$16+($B$13-$B$16)*MIN(MAX(A28-$B$21,0),$B$20)/$B$20)-(0.052*$B$12*(MIN(MAX(A28-$B$21,0),$B$20)/$B$20*$B$7)+0.052*$B$5*($B$7-(MIN(MAX(A28-$B$21,0),$B$20)/$B$20*$B$7)))</f>
        <v>1406.34207240949</v>
      </c>
      <c r="E28" s="51" t="n">
        <f aca="false">B28-C28</f>
        <v>-1.73283395755311</v>
      </c>
      <c r="F28" s="51" t="n">
        <f aca="false">C28-D28</f>
        <v>7.39076154806457</v>
      </c>
    </row>
    <row r="29" customFormat="false" ht="15" hidden="false" customHeight="false" outlineLevel="0" collapsed="false">
      <c r="A29" s="47" t="n">
        <v>1150</v>
      </c>
      <c r="B29" s="47" t="n">
        <v>1365</v>
      </c>
      <c r="C29" s="51" t="n">
        <f aca="false">$B$11-($B$11-$B$13)*MIN(MAX(A29-$B$21,0),$B$20)/$B$20</f>
        <v>1367.16604244694</v>
      </c>
      <c r="D29" s="51" t="n">
        <f aca="false">$B$17+($B$16+($B$13-$B$16)*MIN(MAX(A29-$B$21,0),$B$20)/$B$20)-(0.052*$B$12*(MIN(MAX(A29-$B$21,0),$B$20)/$B$20*$B$7)+0.052*$B$5*($B$7-(MIN(MAX(A29-$B$21,0),$B$20)/$B$20*$B$7)))</f>
        <v>1357.92759051186</v>
      </c>
      <c r="E29" s="51" t="n">
        <f aca="false">B29-C29</f>
        <v>-2.16604244694122</v>
      </c>
      <c r="F29" s="51" t="n">
        <f aca="false">C29-D29</f>
        <v>9.23845193508009</v>
      </c>
    </row>
    <row r="30" customFormat="false" ht="15" hidden="false" customHeight="false" outlineLevel="0" collapsed="false">
      <c r="A30" s="47" t="n">
        <v>1350</v>
      </c>
      <c r="B30" s="47" t="n">
        <v>1318</v>
      </c>
      <c r="C30" s="51" t="n">
        <f aca="false">$B$11-($B$11-$B$13)*MIN(MAX(A30-$B$21,0),$B$20)/$B$20</f>
        <v>1320.59925093633</v>
      </c>
      <c r="D30" s="51" t="n">
        <f aca="false">$B$17+($B$16+($B$13-$B$16)*MIN(MAX(A30-$B$21,0),$B$20)/$B$20)-(0.052*$B$12*(MIN(MAX(A30-$B$21,0),$B$20)/$B$20*$B$7)+0.052*$B$5*($B$7-(MIN(MAX(A30-$B$21,0),$B$20)/$B$20*$B$7)))</f>
        <v>1309.51310861423</v>
      </c>
      <c r="E30" s="51" t="n">
        <f aca="false">B30-C30</f>
        <v>-2.59925093632955</v>
      </c>
      <c r="F30" s="51" t="n">
        <f aca="false">C30-D30</f>
        <v>11.0861423220958</v>
      </c>
    </row>
    <row r="31" customFormat="false" ht="15" hidden="false" customHeight="false" outlineLevel="0" collapsed="false">
      <c r="A31" s="47" t="n">
        <v>1550</v>
      </c>
      <c r="B31" s="47" t="n">
        <v>1271</v>
      </c>
      <c r="C31" s="51" t="n">
        <f aca="false">$B$11-($B$11-$B$13)*MIN(MAX(A31-$B$21,0),$B$20)/$B$20</f>
        <v>1274.03245942572</v>
      </c>
      <c r="D31" s="51" t="n">
        <f aca="false">$B$17+($B$16+($B$13-$B$16)*MIN(MAX(A31-$B$21,0),$B$20)/$B$20)-(0.052*$B$12*(MIN(MAX(A31-$B$21,0),$B$20)/$B$20*$B$7)+0.052*$B$5*($B$7-(MIN(MAX(A31-$B$21,0),$B$20)/$B$20*$B$7)))</f>
        <v>1261.09862671661</v>
      </c>
      <c r="E31" s="51" t="n">
        <f aca="false">B31-C31</f>
        <v>-3.03245942571789</v>
      </c>
      <c r="F31" s="51" t="n">
        <f aca="false">C31-D31</f>
        <v>12.9338327091125</v>
      </c>
    </row>
    <row r="32" customFormat="false" ht="15" hidden="false" customHeight="false" outlineLevel="0" collapsed="false">
      <c r="A32" s="47" t="n">
        <v>1750</v>
      </c>
      <c r="B32" s="47" t="n">
        <v>1227</v>
      </c>
      <c r="C32" s="51" t="n">
        <f aca="false">$B$11-($B$11-$B$13)*MIN(MAX(A32-$B$21,0),$B$20)/$B$20</f>
        <v>1227.46566791511</v>
      </c>
      <c r="D32" s="51" t="n">
        <f aca="false">$B$17+($B$16+($B$13-$B$16)*MIN(MAX(A32-$B$21,0),$B$20)/$B$20)-(0.052*$B$12*(MIN(MAX(A32-$B$21,0),$B$20)/$B$20*$B$7)+0.052*$B$5*($B$7-(MIN(MAX(A32-$B$21,0),$B$20)/$B$20*$B$7)))</f>
        <v>1212.68414481898</v>
      </c>
      <c r="E32" s="51" t="n">
        <f aca="false">B32-C32</f>
        <v>-0.465667915105996</v>
      </c>
      <c r="F32" s="51" t="n">
        <f aca="false">C32-D32</f>
        <v>14.7815230961289</v>
      </c>
    </row>
    <row r="34" customFormat="false" ht="15" hidden="false" customHeight="true" outlineLevel="0" collapsed="false">
      <c r="A34" s="52" t="s">
        <v>295</v>
      </c>
      <c r="B34" s="52"/>
      <c r="C34" s="52"/>
      <c r="D34" s="52"/>
      <c r="E34" s="52"/>
      <c r="F34" s="52"/>
    </row>
    <row r="35" customFormat="false" ht="15" hidden="false" customHeight="false" outlineLevel="0" collapsed="false">
      <c r="A35" s="52"/>
      <c r="B35" s="52"/>
      <c r="C35" s="52"/>
      <c r="D35" s="52"/>
      <c r="E35" s="52"/>
      <c r="F35" s="52"/>
    </row>
    <row r="36" customFormat="false" ht="15" hidden="false" customHeight="false" outlineLevel="0" collapsed="false">
      <c r="A36" s="52"/>
      <c r="B36" s="52"/>
      <c r="C36" s="52"/>
      <c r="D36" s="52"/>
      <c r="E36" s="52"/>
      <c r="F36" s="52"/>
    </row>
    <row r="37" customFormat="false" ht="15" hidden="false" customHeight="false" outlineLevel="0" collapsed="false">
      <c r="A37" s="52"/>
      <c r="B37" s="52"/>
      <c r="C37" s="52"/>
      <c r="D37" s="52"/>
      <c r="E37" s="52"/>
      <c r="F37" s="52"/>
    </row>
    <row r="38" customFormat="false" ht="15" hidden="false" customHeight="false" outlineLevel="0" collapsed="false">
      <c r="A38" s="52"/>
      <c r="B38" s="52"/>
      <c r="C38" s="52"/>
      <c r="D38" s="52"/>
      <c r="E38" s="52"/>
      <c r="F38" s="52"/>
    </row>
    <row r="39" customFormat="false" ht="15" hidden="false" customHeight="false" outlineLevel="0" collapsed="false">
      <c r="A39" s="52"/>
      <c r="B39" s="52"/>
      <c r="C39" s="52"/>
      <c r="D39" s="52"/>
      <c r="E39" s="52"/>
      <c r="F39" s="52"/>
    </row>
    <row r="40" customFormat="false" ht="15" hidden="false" customHeight="false" outlineLevel="0" collapsed="false">
      <c r="A40" s="52"/>
      <c r="B40" s="52"/>
      <c r="C40" s="52"/>
      <c r="D40" s="52"/>
      <c r="E40" s="52"/>
      <c r="F40" s="52"/>
    </row>
  </sheetData>
  <mergeCells count="1">
    <mergeCell ref="A34:F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8"/>
  </cols>
  <sheetData>
    <row r="1" customFormat="false" ht="17.35" hidden="false" customHeight="false" outlineLevel="0" collapsed="false">
      <c r="A1" s="31" t="s">
        <v>296</v>
      </c>
    </row>
    <row r="3" customFormat="false" ht="15" hidden="false" customHeight="false" outlineLevel="0" collapsed="false">
      <c r="A3" s="29"/>
    </row>
    <row r="4" customFormat="false" ht="15" hidden="false" customHeight="false" outlineLevel="0" collapsed="false">
      <c r="A4" s="30" t="s">
        <v>297</v>
      </c>
    </row>
    <row r="5" customFormat="false" ht="46.25" hidden="false" customHeight="false" outlineLevel="0" collapsed="false">
      <c r="A5" s="29" t="s">
        <v>298</v>
      </c>
    </row>
    <row r="6" customFormat="false" ht="15" hidden="false" customHeight="false" outlineLevel="0" collapsed="false">
      <c r="A6" s="29"/>
    </row>
    <row r="7" customFormat="false" ht="15" hidden="false" customHeight="false" outlineLevel="0" collapsed="false">
      <c r="A7" s="30" t="s">
        <v>299</v>
      </c>
    </row>
    <row r="8" customFormat="false" ht="23.85" hidden="false" customHeight="false" outlineLevel="0" collapsed="false">
      <c r="A8" s="29" t="s">
        <v>300</v>
      </c>
    </row>
    <row r="9" customFormat="false" ht="23.85" hidden="false" customHeight="false" outlineLevel="0" collapsed="false">
      <c r="A9" s="29" t="s">
        <v>301</v>
      </c>
    </row>
    <row r="10" customFormat="false" ht="23.85" hidden="false" customHeight="false" outlineLevel="0" collapsed="false">
      <c r="A10" s="29" t="s">
        <v>302</v>
      </c>
    </row>
    <row r="11" customFormat="false" ht="15" hidden="false" customHeight="false" outlineLevel="0" collapsed="false">
      <c r="A11" s="29" t="s">
        <v>303</v>
      </c>
    </row>
    <row r="12" customFormat="false" ht="23.85" hidden="false" customHeight="false" outlineLevel="0" collapsed="false">
      <c r="A12" s="29" t="s">
        <v>304</v>
      </c>
    </row>
    <row r="13" customFormat="false" ht="15" hidden="false" customHeight="false" outlineLevel="0" collapsed="false">
      <c r="A13" s="29" t="s">
        <v>305</v>
      </c>
    </row>
    <row r="14" customFormat="false" ht="15" hidden="false" customHeight="false" outlineLevel="0" collapsed="false">
      <c r="A14" s="29" t="s">
        <v>306</v>
      </c>
    </row>
    <row r="15" customFormat="false" ht="15" hidden="false" customHeight="false" outlineLevel="0" collapsed="false">
      <c r="A15" s="29"/>
    </row>
    <row r="16" customFormat="false" ht="15" hidden="false" customHeight="false" outlineLevel="0" collapsed="false">
      <c r="A16" s="30" t="s">
        <v>307</v>
      </c>
    </row>
    <row r="17" customFormat="false" ht="23.85" hidden="false" customHeight="false" outlineLevel="0" collapsed="false">
      <c r="A17" s="29" t="s">
        <v>308</v>
      </c>
    </row>
    <row r="18" customFormat="false" ht="35.05" hidden="false" customHeight="false" outlineLevel="0" collapsed="false">
      <c r="A18" s="29" t="s">
        <v>309</v>
      </c>
    </row>
    <row r="19" customFormat="false" ht="15" hidden="false" customHeight="false" outlineLevel="0" collapsed="false">
      <c r="A19" s="29" t="s">
        <v>310</v>
      </c>
    </row>
    <row r="20" customFormat="false" ht="15" hidden="false" customHeight="false" outlineLevel="0" collapsed="false">
      <c r="A20" s="29"/>
    </row>
    <row r="21" customFormat="false" ht="15" hidden="false" customHeight="false" outlineLevel="0" collapsed="false">
      <c r="A21" s="30" t="s">
        <v>311</v>
      </c>
    </row>
    <row r="22" customFormat="false" ht="15" hidden="false" customHeight="false" outlineLevel="0" collapsed="false">
      <c r="A22" s="29" t="s">
        <v>312</v>
      </c>
    </row>
    <row r="23" customFormat="false" ht="15" hidden="false" customHeight="false" outlineLevel="0" collapsed="false">
      <c r="A23" s="29" t="s">
        <v>313</v>
      </c>
    </row>
    <row r="24" customFormat="false" ht="23.85" hidden="false" customHeight="false" outlineLevel="0" collapsed="false">
      <c r="A24" s="29" t="s">
        <v>314</v>
      </c>
    </row>
    <row r="25" customFormat="false" ht="23.85" hidden="false" customHeight="false" outlineLevel="0" collapsed="false">
      <c r="A25" s="29" t="s">
        <v>315</v>
      </c>
    </row>
    <row r="26" customFormat="false" ht="15" hidden="false" customHeight="false" outlineLevel="0" collapsed="false">
      <c r="A26" s="29" t="s">
        <v>316</v>
      </c>
    </row>
    <row r="27" customFormat="false" ht="15" hidden="false" customHeight="false" outlineLevel="0" collapsed="false">
      <c r="A27" s="29"/>
    </row>
    <row r="28" customFormat="false" ht="15" hidden="false" customHeight="false" outlineLevel="0" collapsed="false">
      <c r="A28" s="30" t="s">
        <v>317</v>
      </c>
    </row>
    <row r="29" customFormat="false" ht="57.45" hidden="false" customHeight="false" outlineLevel="0" collapsed="false">
      <c r="A29" s="29" t="s">
        <v>318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2026-07-25T12:57:09Z</dcterms:created>
  <dc:creator>openpyxl</dc:creator>
  <dc:description/>
  <dc:language>en-US</dc:language>
  <cp:lastModifiedBy/>
  <dcterms:modified xsi:type="dcterms:W3CDTF">2026-07-25T13:55:52Z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